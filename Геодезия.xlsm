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meddev\Developer\geodesy-v2\"/>
    </mc:Choice>
  </mc:AlternateContent>
  <xr:revisionPtr revIDLastSave="0" documentId="13_ncr:1_{142F2B40-4FFA-4235-BB39-F017AB9EF961}" xr6:coauthVersionLast="47" xr6:coauthVersionMax="47" xr10:uidLastSave="{00000000-0000-0000-0000-000000000000}"/>
  <bookViews>
    <workbookView xWindow="4560" yWindow="4065" windowWidth="18900" windowHeight="10965" tabRatio="783" activeTab="2" xr2:uid="{77E8EAE6-225D-4DFE-9377-F291687CE111}"/>
  </bookViews>
  <sheets>
    <sheet name="Варианты" sheetId="6" r:id="rId1"/>
    <sheet name="Таблица 5" sheetId="2" state="hidden" r:id="rId2"/>
    <sheet name="Таблица 7" sheetId="7" r:id="rId3"/>
    <sheet name="Таблица 8" sheetId="3" state="hidden" r:id="rId4"/>
    <sheet name="Таблица 9" sheetId="1" r:id="rId5"/>
    <sheet name="Таблица 10" sheetId="5" r:id="rId6"/>
    <sheet name="pandasPlan79" sheetId="20" r:id="rId7"/>
    <sheet name="pandasPlan10" sheetId="21" r:id="rId8"/>
    <sheet name="pandasConnections" sheetId="22" r:id="rId9"/>
    <sheet name="Исходные Данные 2" sheetId="11" r:id="rId10"/>
    <sheet name="Таблица 12" sheetId="9" r:id="rId11"/>
    <sheet name="Таблица 12 Поправки" sheetId="12" state="hidden" r:id="rId12"/>
    <sheet name="FIX ME большие поправки" sheetId="13" state="hidden" r:id="rId13"/>
    <sheet name="pandas" sheetId="15" r:id="rId14"/>
    <sheet name="pandas_extra" sheetId="16" state="hidden" r:id="rId15"/>
    <sheet name="Таблица 13" sheetId="10" r:id="rId16"/>
    <sheet name="Таблица 14" sheetId="14" r:id="rId17"/>
    <sheet name="Таблица 15" sheetId="18" r:id="rId18"/>
    <sheet name="Сечение реки" sheetId="19" r:id="rId1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29" i="22" l="1"/>
  <c r="A28" i="22"/>
  <c r="A27" i="22"/>
  <c r="A26" i="22"/>
  <c r="A25" i="22"/>
  <c r="A24" i="22"/>
  <c r="A22" i="22"/>
  <c r="A21" i="22"/>
  <c r="A20" i="22"/>
  <c r="A19" i="22"/>
  <c r="A17" i="22"/>
  <c r="A16" i="22"/>
  <c r="A15" i="22"/>
  <c r="A14" i="22"/>
  <c r="A12" i="22"/>
  <c r="A11" i="22"/>
  <c r="A10" i="22"/>
  <c r="A9" i="22"/>
  <c r="A7" i="22"/>
  <c r="A6" i="22"/>
  <c r="A5" i="22"/>
  <c r="A4" i="22"/>
  <c r="A3" i="22"/>
  <c r="B24" i="21"/>
  <c r="B25" i="21"/>
  <c r="B26" i="21"/>
  <c r="B27" i="21"/>
  <c r="B28" i="21"/>
  <c r="B29" i="21"/>
  <c r="A24" i="21"/>
  <c r="A25" i="21"/>
  <c r="A26" i="21"/>
  <c r="A27" i="21"/>
  <c r="A28" i="21"/>
  <c r="A29" i="21"/>
  <c r="B19" i="21"/>
  <c r="B20" i="21"/>
  <c r="B21" i="21"/>
  <c r="B22" i="21"/>
  <c r="A19" i="21"/>
  <c r="A20" i="21"/>
  <c r="A21" i="21"/>
  <c r="A22" i="21"/>
  <c r="B14" i="21"/>
  <c r="B15" i="21"/>
  <c r="B16" i="21"/>
  <c r="B17" i="21"/>
  <c r="A14" i="21"/>
  <c r="A15" i="21"/>
  <c r="A16" i="21"/>
  <c r="A17" i="21"/>
  <c r="B12" i="21"/>
  <c r="A12" i="21"/>
  <c r="B11" i="21"/>
  <c r="A11" i="21"/>
  <c r="B10" i="21"/>
  <c r="A10" i="21"/>
  <c r="B9" i="21"/>
  <c r="A9" i="21"/>
  <c r="A3" i="21"/>
  <c r="B3" i="21"/>
  <c r="A4" i="21"/>
  <c r="B4" i="21"/>
  <c r="A5" i="21"/>
  <c r="B5" i="21"/>
  <c r="A6" i="21"/>
  <c r="B6" i="21"/>
  <c r="A7" i="21"/>
  <c r="B7" i="21"/>
  <c r="B1" i="20"/>
  <c r="C1" i="20"/>
  <c r="D21" i="15"/>
  <c r="D22" i="15"/>
  <c r="D23" i="15"/>
  <c r="D24" i="15"/>
  <c r="D25" i="15"/>
  <c r="I8" i="14"/>
  <c r="I12" i="14"/>
  <c r="I27" i="14"/>
  <c r="I19" i="14"/>
  <c r="H35" i="14"/>
  <c r="H31" i="14"/>
  <c r="H23" i="14"/>
  <c r="H15" i="14"/>
  <c r="B40" i="14"/>
  <c r="B42" i="14"/>
  <c r="H33" i="14"/>
  <c r="H29" i="14"/>
  <c r="I25" i="14"/>
  <c r="H21" i="14"/>
  <c r="I17" i="14"/>
  <c r="H13" i="14"/>
  <c r="H106" i="9"/>
  <c r="F26" i="14"/>
  <c r="F25" i="14"/>
  <c r="F18" i="14"/>
  <c r="F17" i="14"/>
  <c r="G26" i="14"/>
  <c r="G25" i="14"/>
  <c r="G18" i="14"/>
  <c r="G17" i="14"/>
  <c r="F34" i="14"/>
  <c r="F33" i="14"/>
  <c r="F30" i="14"/>
  <c r="F29" i="14"/>
  <c r="F22" i="14"/>
  <c r="F21" i="14"/>
  <c r="F14" i="14"/>
  <c r="F13" i="14"/>
  <c r="F106" i="9"/>
  <c r="C5" i="21" a="1"/>
  <c r="C7" i="21" a="1"/>
  <c r="C9" i="21" a="1"/>
  <c r="C11" i="21" a="1"/>
  <c r="C15" i="21" a="1"/>
  <c r="C17" i="21" a="1"/>
  <c r="C19" i="21" a="1"/>
  <c r="C21" i="21" a="1"/>
  <c r="C25" i="21" a="1"/>
  <c r="C27" i="21" a="1"/>
  <c r="C29" i="21" a="1"/>
  <c r="C4" i="21" a="1"/>
  <c r="C6" i="21" a="1"/>
  <c r="C10" i="21" a="1"/>
  <c r="C12" i="21" a="1"/>
  <c r="C14" i="21" a="1"/>
  <c r="C16" i="21" a="1"/>
  <c r="C20" i="21" a="1"/>
  <c r="C22" i="21" a="1"/>
  <c r="C24" i="21" a="1"/>
  <c r="C26" i="21" a="1"/>
  <c r="C28" i="21" a="1"/>
  <c r="C3" i="21" a="1"/>
  <c r="C28" i="21" l="1"/>
  <c r="C26" i="21"/>
  <c r="C24" i="21"/>
  <c r="C22" i="21"/>
  <c r="C20" i="21"/>
  <c r="C16" i="21"/>
  <c r="C14" i="21"/>
  <c r="C12" i="21"/>
  <c r="C10" i="21"/>
  <c r="C6" i="21"/>
  <c r="C4" i="21"/>
  <c r="C29" i="21"/>
  <c r="C27" i="21"/>
  <c r="C25" i="21"/>
  <c r="C21" i="21"/>
  <c r="C19" i="21"/>
  <c r="C17" i="21"/>
  <c r="C15" i="21"/>
  <c r="C11" i="21"/>
  <c r="C9" i="21"/>
  <c r="C7" i="21"/>
  <c r="C5" i="21"/>
  <c r="C3" i="21"/>
  <c r="F128" i="9"/>
  <c r="F127" i="9"/>
  <c r="H127" i="9"/>
  <c r="F123" i="9"/>
  <c r="F122" i="9"/>
  <c r="H122" i="9"/>
  <c r="F120" i="9"/>
  <c r="F119" i="9"/>
  <c r="H119" i="9" s="1"/>
  <c r="F112" i="9"/>
  <c r="F111" i="9"/>
  <c r="F107" i="9"/>
  <c r="K4" i="9"/>
  <c r="B10" i="10"/>
  <c r="B8" i="10"/>
  <c r="B7" i="10"/>
  <c r="B9" i="10" s="1"/>
  <c r="D2" i="10" s="1"/>
  <c r="A2" i="13" s="1"/>
  <c r="B10" i="1"/>
  <c r="B8" i="1"/>
  <c r="B6" i="1"/>
  <c r="B4" i="1"/>
  <c r="B15" i="1" s="1"/>
  <c r="J3" i="1"/>
  <c r="D27" i="7"/>
  <c r="B27" i="7"/>
  <c r="B30" i="7"/>
  <c r="C36" i="7" a="1"/>
  <c r="K7" i="5" l="1"/>
  <c r="D4" i="21" s="1"/>
  <c r="D2" i="20"/>
  <c r="H111" i="9"/>
  <c r="A1" i="13"/>
  <c r="A5" i="13"/>
  <c r="D5" i="13" s="1"/>
  <c r="A8" i="13"/>
  <c r="A3" i="13"/>
  <c r="D3" i="13" s="1"/>
  <c r="A6" i="13"/>
  <c r="A4" i="13"/>
  <c r="A7" i="13"/>
  <c r="D7" i="13" s="1"/>
  <c r="D3" i="10"/>
  <c r="D4" i="10"/>
  <c r="A4" i="12"/>
  <c r="A8" i="12"/>
  <c r="A5" i="12"/>
  <c r="D5" i="12" s="1"/>
  <c r="I23" i="9" s="1"/>
  <c r="A1" i="12"/>
  <c r="A2" i="12"/>
  <c r="A6" i="12"/>
  <c r="A3" i="12"/>
  <c r="D3" i="12" s="1"/>
  <c r="I15" i="9" s="1"/>
  <c r="A7" i="12"/>
  <c r="D7" i="12" s="1"/>
  <c r="H32" i="9" s="1"/>
  <c r="K10" i="5"/>
  <c r="D7" i="21" s="1"/>
  <c r="K9" i="5"/>
  <c r="D6" i="21" s="1"/>
  <c r="K8" i="5"/>
  <c r="D5" i="21" s="1"/>
  <c r="K6" i="5"/>
  <c r="D3" i="21" s="1"/>
  <c r="C36" i="7"/>
  <c r="D11" i="7" a="1"/>
  <c r="D13" i="7" a="1"/>
  <c r="C39" i="7" a="1"/>
  <c r="D15" i="7" a="1"/>
  <c r="C38" i="7" a="1"/>
  <c r="D9" i="7" a="1"/>
  <c r="D7" i="7" a="1"/>
  <c r="C37" i="7" a="1"/>
  <c r="C40" i="7" a="1"/>
  <c r="B2" i="13" l="1"/>
  <c r="B4" i="13" s="1"/>
  <c r="D1" i="13"/>
  <c r="E4" i="10"/>
  <c r="A30" i="13"/>
  <c r="D30" i="13" s="1"/>
  <c r="A28" i="13"/>
  <c r="D28" i="13" s="1"/>
  <c r="A25" i="13"/>
  <c r="A22" i="13"/>
  <c r="A27" i="13"/>
  <c r="A24" i="13"/>
  <c r="D24" i="13" s="1"/>
  <c r="A29" i="13"/>
  <c r="A26" i="13"/>
  <c r="D26" i="13" s="1"/>
  <c r="A23" i="13"/>
  <c r="E3" i="10"/>
  <c r="A18" i="13"/>
  <c r="A14" i="13"/>
  <c r="A11" i="13"/>
  <c r="A16" i="13"/>
  <c r="A13" i="13"/>
  <c r="D13" i="13" s="1"/>
  <c r="A19" i="13"/>
  <c r="D19" i="13" s="1"/>
  <c r="A15" i="13"/>
  <c r="D15" i="13" s="1"/>
  <c r="A12" i="13"/>
  <c r="A17" i="13"/>
  <c r="D17" i="13" s="1"/>
  <c r="A25" i="12"/>
  <c r="A29" i="12"/>
  <c r="A26" i="12"/>
  <c r="D26" i="12" s="1"/>
  <c r="A30" i="12"/>
  <c r="D30" i="12" s="1"/>
  <c r="H128" i="9" s="1"/>
  <c r="A23" i="12"/>
  <c r="A27" i="12"/>
  <c r="A22" i="12"/>
  <c r="A24" i="12"/>
  <c r="D24" i="12" s="1"/>
  <c r="A28" i="12"/>
  <c r="D28" i="12" s="1"/>
  <c r="A12" i="12"/>
  <c r="A16" i="12"/>
  <c r="A13" i="12"/>
  <c r="D13" i="12" s="1"/>
  <c r="I57" i="9" s="1"/>
  <c r="I58" i="9" s="1"/>
  <c r="A17" i="12"/>
  <c r="D17" i="12" s="1"/>
  <c r="I74" i="9" s="1"/>
  <c r="I75" i="9" s="1"/>
  <c r="A15" i="12"/>
  <c r="D15" i="12" s="1"/>
  <c r="I65" i="9" s="1"/>
  <c r="I66" i="9" s="1"/>
  <c r="A14" i="12"/>
  <c r="A18" i="12"/>
  <c r="A19" i="12"/>
  <c r="D19" i="12" s="1"/>
  <c r="I83" i="9" s="1"/>
  <c r="I84" i="9" s="1"/>
  <c r="A11" i="12"/>
  <c r="B2" i="12"/>
  <c r="B4" i="12" s="1"/>
  <c r="B6" i="12" s="1"/>
  <c r="D1" i="12"/>
  <c r="E2" i="10"/>
  <c r="F2" i="10" s="1"/>
  <c r="D15" i="7"/>
  <c r="D13" i="7"/>
  <c r="D11" i="7"/>
  <c r="D9" i="7"/>
  <c r="D7" i="7"/>
  <c r="C40" i="7"/>
  <c r="C38" i="7"/>
  <c r="C39" i="7"/>
  <c r="C37" i="7"/>
  <c r="H120" i="9" l="1"/>
  <c r="I101" i="9"/>
  <c r="I102" i="9" s="1"/>
  <c r="H107" i="9"/>
  <c r="B6" i="13"/>
  <c r="B8" i="13" s="1"/>
  <c r="B16" i="13"/>
  <c r="B18" i="13"/>
  <c r="B12" i="13"/>
  <c r="D12" i="13" s="1"/>
  <c r="B14" i="13"/>
  <c r="D14" i="13" s="1"/>
  <c r="D2" i="13"/>
  <c r="F3" i="10"/>
  <c r="F4" i="10" s="1"/>
  <c r="D11" i="13"/>
  <c r="B23" i="13"/>
  <c r="D23" i="13" s="1"/>
  <c r="D22" i="13"/>
  <c r="D22" i="12"/>
  <c r="I92" i="9" s="1"/>
  <c r="I93" i="9" s="1"/>
  <c r="B23" i="12"/>
  <c r="B12" i="12"/>
  <c r="D11" i="12"/>
  <c r="I49" i="9" s="1"/>
  <c r="I50" i="9" s="1"/>
  <c r="H6" i="9"/>
  <c r="B8" i="12"/>
  <c r="D4" i="12"/>
  <c r="I19" i="9" s="1"/>
  <c r="D2" i="12"/>
  <c r="I11" i="9" s="1"/>
  <c r="H7" i="9"/>
  <c r="K5" i="9" s="1"/>
  <c r="K6" i="9" s="1"/>
  <c r="F6" i="10"/>
  <c r="C41" i="7"/>
  <c r="L7" i="7"/>
  <c r="C2" i="20" s="1"/>
  <c r="K7" i="7"/>
  <c r="B2" i="20" s="1"/>
  <c r="L15" i="7"/>
  <c r="C6" i="20" s="1"/>
  <c r="K15" i="7"/>
  <c r="B6" i="20" s="1"/>
  <c r="E6" i="7"/>
  <c r="J11" i="1"/>
  <c r="D6" i="20" s="1"/>
  <c r="C4" i="2" a="1"/>
  <c r="C3" i="2" a="1"/>
  <c r="C6" i="2" a="1"/>
  <c r="C5" i="2" a="1"/>
  <c r="E8" i="7" a="1"/>
  <c r="K8" i="9" l="1"/>
  <c r="B2" i="15"/>
  <c r="B25" i="13"/>
  <c r="D25" i="13" s="1"/>
  <c r="D6" i="13"/>
  <c r="D4" i="13"/>
  <c r="D16" i="13"/>
  <c r="D23" i="12"/>
  <c r="I97" i="9" s="1"/>
  <c r="I98" i="9" s="1"/>
  <c r="B25" i="12"/>
  <c r="D25" i="12" s="1"/>
  <c r="D12" i="12"/>
  <c r="I53" i="9" s="1"/>
  <c r="I54" i="9" s="1"/>
  <c r="B14" i="12"/>
  <c r="D14" i="12" s="1"/>
  <c r="I61" i="9" s="1"/>
  <c r="I62" i="9" s="1"/>
  <c r="I16" i="9"/>
  <c r="K13" i="9" s="1"/>
  <c r="A26" i="5"/>
  <c r="B13" i="1"/>
  <c r="E8" i="7"/>
  <c r="K31" i="5"/>
  <c r="D28" i="21" s="1"/>
  <c r="C6" i="2"/>
  <c r="C5" i="2"/>
  <c r="C4" i="2"/>
  <c r="C3" i="2"/>
  <c r="K28" i="5"/>
  <c r="D25" i="21" s="1"/>
  <c r="A3" i="5"/>
  <c r="K30" i="5"/>
  <c r="D27" i="21" s="1"/>
  <c r="K32" i="5"/>
  <c r="D29" i="21" s="1"/>
  <c r="K27" i="5"/>
  <c r="D24" i="21" s="1"/>
  <c r="K29" i="5"/>
  <c r="D26" i="21" s="1"/>
  <c r="H8" i="7" a="1"/>
  <c r="E10" i="7" a="1"/>
  <c r="G8" i="7" a="1"/>
  <c r="H108" i="9" l="1"/>
  <c r="I105" i="9"/>
  <c r="I106" i="9" s="1"/>
  <c r="B27" i="13"/>
  <c r="D27" i="13" s="1"/>
  <c r="D8" i="13"/>
  <c r="D9" i="13" s="1"/>
  <c r="D18" i="13"/>
  <c r="D20" i="13" s="1"/>
  <c r="B27" i="12"/>
  <c r="D27" i="12" s="1"/>
  <c r="B16" i="12"/>
  <c r="D16" i="12" s="1"/>
  <c r="H70" i="9" s="1"/>
  <c r="H71" i="9" s="1"/>
  <c r="D6" i="12"/>
  <c r="D8" i="12"/>
  <c r="H41" i="9" s="1"/>
  <c r="H6" i="1"/>
  <c r="I6" i="1" s="1"/>
  <c r="H4" i="1"/>
  <c r="I4" i="1" s="1"/>
  <c r="J5" i="1" s="1"/>
  <c r="K13" i="5" s="1"/>
  <c r="D10" i="21" s="1"/>
  <c r="B14" i="1"/>
  <c r="H8" i="1"/>
  <c r="I8" i="1" s="1"/>
  <c r="H10" i="1"/>
  <c r="I10" i="1" s="1"/>
  <c r="H8" i="7"/>
  <c r="G8" i="7"/>
  <c r="E10" i="7"/>
  <c r="G10" i="7" a="1"/>
  <c r="E12" i="7" a="1"/>
  <c r="H10" i="7" a="1"/>
  <c r="K15" i="5" l="1"/>
  <c r="D12" i="21" s="1"/>
  <c r="A11" i="5"/>
  <c r="D3" i="20"/>
  <c r="H121" i="9"/>
  <c r="H112" i="9"/>
  <c r="H113" i="9" s="1"/>
  <c r="B29" i="13"/>
  <c r="D29" i="13" s="1"/>
  <c r="D31" i="13" s="1"/>
  <c r="B29" i="12"/>
  <c r="D29" i="12" s="1"/>
  <c r="H123" i="9" s="1"/>
  <c r="H124" i="9" s="1"/>
  <c r="B18" i="12"/>
  <c r="D18" i="12" s="1"/>
  <c r="H28" i="9"/>
  <c r="D9" i="12"/>
  <c r="K12" i="5"/>
  <c r="D9" i="21" s="1"/>
  <c r="K14" i="5"/>
  <c r="D11" i="21" s="1"/>
  <c r="J7" i="1"/>
  <c r="K17" i="5" s="1"/>
  <c r="D14" i="21" s="1"/>
  <c r="H10" i="7"/>
  <c r="G10" i="7"/>
  <c r="E12" i="7"/>
  <c r="G12" i="7" a="1"/>
  <c r="E14" i="7" a="1"/>
  <c r="H12" i="7" a="1"/>
  <c r="J9" i="1" l="1"/>
  <c r="K24" i="5" s="1"/>
  <c r="D21" i="21" s="1"/>
  <c r="D4" i="20"/>
  <c r="K18" i="5"/>
  <c r="D15" i="21" s="1"/>
  <c r="D31" i="12"/>
  <c r="H129" i="9"/>
  <c r="D20" i="12"/>
  <c r="I79" i="9"/>
  <c r="I80" i="9" s="1"/>
  <c r="I24" i="9"/>
  <c r="H29" i="9"/>
  <c r="K26" i="9" s="1"/>
  <c r="K19" i="5"/>
  <c r="D16" i="21" s="1"/>
  <c r="A16" i="5"/>
  <c r="K20" i="5"/>
  <c r="D17" i="21" s="1"/>
  <c r="H12" i="7"/>
  <c r="G12" i="7"/>
  <c r="E14" i="7"/>
  <c r="E16" i="7" a="1"/>
  <c r="G14" i="7" a="1"/>
  <c r="H14" i="7" a="1"/>
  <c r="K25" i="5" l="1"/>
  <c r="D22" i="21" s="1"/>
  <c r="K23" i="5"/>
  <c r="D20" i="21" s="1"/>
  <c r="K22" i="5"/>
  <c r="D19" i="21" s="1"/>
  <c r="A21" i="5"/>
  <c r="D5" i="20"/>
  <c r="H33" i="9"/>
  <c r="H14" i="7"/>
  <c r="D26" i="7" s="1"/>
  <c r="G14" i="7"/>
  <c r="E16" i="7"/>
  <c r="B21" i="7" a="1"/>
  <c r="H42" i="9" l="1"/>
  <c r="B26" i="7"/>
  <c r="B21" i="7"/>
  <c r="B22" i="7" a="1"/>
  <c r="B22" i="7" l="1"/>
  <c r="B23" i="7" a="1"/>
  <c r="B25" i="7" a="1"/>
  <c r="B25" i="7" l="1"/>
  <c r="B23" i="7"/>
  <c r="B28" i="7"/>
  <c r="G9" i="7" s="1"/>
  <c r="I10" i="7" s="1"/>
  <c r="D28" i="7"/>
  <c r="G13" i="7" l="1"/>
  <c r="I14" i="7" s="1"/>
  <c r="G11" i="7"/>
  <c r="I12" i="7" s="1"/>
  <c r="G7" i="7"/>
  <c r="I8" i="7" s="1"/>
  <c r="K9" i="7" s="1"/>
  <c r="H7" i="7"/>
  <c r="J8" i="7" s="1"/>
  <c r="L9" i="7" s="1"/>
  <c r="C3" i="20" s="1"/>
  <c r="H13" i="7"/>
  <c r="J14" i="7" s="1"/>
  <c r="H11" i="7"/>
  <c r="J12" i="7" s="1"/>
  <c r="H9" i="7"/>
  <c r="J10" i="7" s="1"/>
  <c r="B29" i="7"/>
  <c r="K11" i="7" l="1"/>
  <c r="B4" i="20" s="1"/>
  <c r="B3" i="20"/>
  <c r="L11" i="7"/>
  <c r="I20" i="9"/>
  <c r="K17" i="9" s="1"/>
  <c r="I12" i="9"/>
  <c r="K9" i="9" s="1"/>
  <c r="K10" i="9" s="1"/>
  <c r="K13" i="7" l="1"/>
  <c r="B5" i="20" s="1"/>
  <c r="L13" i="7"/>
  <c r="C5" i="20" s="1"/>
  <c r="C4" i="20"/>
  <c r="K12" i="9"/>
  <c r="K14" i="9" s="1"/>
  <c r="K16" i="9" s="1"/>
  <c r="K18" i="9" s="1"/>
  <c r="B3" i="15"/>
  <c r="K20" i="9" l="1"/>
  <c r="J20" i="9" s="1"/>
  <c r="B4" i="15"/>
  <c r="K22" i="9" l="1"/>
  <c r="J22" i="9" s="1"/>
  <c r="J21" i="9" s="1"/>
  <c r="K21" i="9" s="1"/>
  <c r="B5" i="15" s="1"/>
  <c r="K25" i="9"/>
  <c r="K27" i="9" s="1"/>
  <c r="K29" i="9" s="1"/>
  <c r="K30" i="9" s="1"/>
  <c r="B6" i="15"/>
  <c r="K33" i="9" l="1"/>
  <c r="B7" i="15"/>
  <c r="K40" i="9" l="1"/>
  <c r="J33" i="9"/>
  <c r="B9" i="15" l="1"/>
  <c r="J40" i="9"/>
  <c r="J34" i="9" s="1"/>
  <c r="K47" i="9"/>
  <c r="K48" i="9" s="1"/>
  <c r="K35" i="9" l="1"/>
  <c r="K34" i="9"/>
  <c r="B8" i="15" s="1"/>
  <c r="K38" i="9"/>
  <c r="K37" i="9"/>
  <c r="K36" i="9"/>
  <c r="K51" i="9"/>
  <c r="K52" i="9" s="1"/>
  <c r="K55" i="9" s="1"/>
  <c r="K56" i="9" s="1"/>
  <c r="B10" i="15"/>
  <c r="K59" i="9" l="1"/>
  <c r="K60" i="9" s="1"/>
  <c r="B11" i="15"/>
  <c r="K63" i="9" l="1"/>
  <c r="B12" i="15"/>
  <c r="K66" i="9" l="1"/>
  <c r="J63" i="9"/>
  <c r="B14" i="15" l="1"/>
  <c r="K69" i="9"/>
  <c r="K70" i="9" s="1"/>
  <c r="J66" i="9"/>
  <c r="J64" i="9" s="1"/>
  <c r="K65" i="9" s="1"/>
  <c r="B13" i="15" s="1"/>
  <c r="K72" i="9" l="1"/>
  <c r="B15" i="15"/>
  <c r="K75" i="9" l="1"/>
  <c r="J72" i="9"/>
  <c r="B17" i="15" l="1"/>
  <c r="J75" i="9"/>
  <c r="J73" i="9" s="1"/>
  <c r="K74" i="9" s="1"/>
  <c r="B16" i="15" s="1"/>
  <c r="K77" i="9"/>
  <c r="K78" i="9" s="1"/>
  <c r="K81" i="9" s="1"/>
  <c r="K82" i="9" s="1"/>
  <c r="K90" i="9" l="1"/>
  <c r="K91" i="9" s="1"/>
  <c r="B18" i="15"/>
  <c r="K93" i="9" l="1"/>
  <c r="B19" i="15"/>
  <c r="J93" i="9" l="1"/>
  <c r="K96" i="9"/>
  <c r="K4" i="14" s="1"/>
  <c r="K5" i="14" s="1"/>
  <c r="K8" i="14" s="1"/>
  <c r="K9" i="14" s="1"/>
  <c r="B41" i="14"/>
  <c r="B43" i="14"/>
  <c r="K13" i="14" l="1"/>
  <c r="K14" i="14" s="1"/>
  <c r="K17" i="14" s="1"/>
  <c r="K18" i="14" s="1"/>
  <c r="B2" i="18"/>
  <c r="B1" i="16"/>
  <c r="J96" i="9"/>
  <c r="J94" i="9" s="1"/>
  <c r="K95" i="9" s="1"/>
  <c r="K98" i="9"/>
  <c r="K99" i="9" s="1"/>
  <c r="B2" i="19" s="1"/>
  <c r="I2" i="19" l="1"/>
  <c r="D2" i="19"/>
  <c r="K2" i="19"/>
  <c r="C2" i="19"/>
  <c r="B4" i="19" s="1"/>
  <c r="B22" i="15" s="1"/>
  <c r="F2" i="19"/>
  <c r="J2" i="19"/>
  <c r="E2" i="19"/>
  <c r="G2" i="19"/>
  <c r="H2" i="19"/>
  <c r="B20" i="15"/>
  <c r="A2" i="19"/>
  <c r="B7" i="18"/>
  <c r="D7" i="18" s="1"/>
  <c r="D2" i="18"/>
  <c r="K21" i="14"/>
  <c r="K22" i="14" s="1"/>
  <c r="K25" i="14" s="1"/>
  <c r="K26" i="14" s="1"/>
  <c r="B4" i="18"/>
  <c r="D4" i="18" s="1"/>
  <c r="K102" i="9"/>
  <c r="K103" i="9" s="1"/>
  <c r="L2" i="19" s="1"/>
  <c r="B21" i="15"/>
  <c r="E3" i="18" l="1"/>
  <c r="G3" i="18" s="1"/>
  <c r="K29" i="14"/>
  <c r="K30" i="14" s="1"/>
  <c r="K33" i="14" s="1"/>
  <c r="K34" i="14" s="1"/>
  <c r="B6" i="18"/>
  <c r="K106" i="9"/>
  <c r="B23" i="15"/>
  <c r="D6" i="18" l="1"/>
  <c r="E5" i="18" s="1"/>
  <c r="G5" i="18" s="1"/>
  <c r="B9" i="18"/>
  <c r="D9" i="18" s="1"/>
  <c r="E8" i="18" s="1"/>
  <c r="G8" i="18" s="1"/>
  <c r="J106" i="9"/>
  <c r="K109" i="9"/>
  <c r="B25" i="15" l="1"/>
  <c r="K111" i="9"/>
  <c r="J109" i="9"/>
  <c r="J107" i="9"/>
  <c r="K108" i="9" s="1"/>
  <c r="B24" i="15" l="1"/>
  <c r="M2" i="19"/>
  <c r="J111" i="9"/>
  <c r="K117" i="9"/>
  <c r="B26" i="15" l="1"/>
  <c r="J117" i="9"/>
  <c r="J112" i="9" s="1"/>
  <c r="K119" i="9"/>
  <c r="K120" i="9" s="1"/>
  <c r="K122" i="9" l="1"/>
  <c r="B27" i="15"/>
  <c r="K115" i="9"/>
  <c r="K112" i="9"/>
  <c r="K113" i="9"/>
  <c r="K114" i="9"/>
  <c r="J122" i="9" l="1"/>
  <c r="K125" i="9"/>
  <c r="B29" i="15" l="1"/>
  <c r="K127" i="9"/>
  <c r="K128" i="9" s="1"/>
  <c r="B8" i="16" s="1"/>
  <c r="J125" i="9"/>
  <c r="J123" i="9" s="1"/>
  <c r="K124" i="9" s="1"/>
  <c r="B28" i="15" s="1"/>
  <c r="G3" i="15"/>
  <c r="D14" i="15" l="1"/>
  <c r="G4" i="15"/>
  <c r="F4" i="15" s="1"/>
  <c r="D19" i="15"/>
  <c r="D20" i="15" s="1"/>
  <c r="D10" i="15"/>
  <c r="D9" i="15"/>
  <c r="D17" i="15"/>
  <c r="D4" i="15"/>
  <c r="D11" i="15"/>
  <c r="D12" i="15"/>
  <c r="D6" i="15"/>
  <c r="D3" i="15"/>
  <c r="D18" i="15"/>
  <c r="D15" i="15"/>
  <c r="D7" i="1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<sst xmlns="http://schemas.openxmlformats.org/spreadsheetml/2006/main" count="508" uniqueCount="335">
  <si>
    <t>№</t>
  </si>
  <si>
    <t>S</t>
  </si>
  <si>
    <t>h прям</t>
  </si>
  <si>
    <t>h обр</t>
  </si>
  <si>
    <t>h ср</t>
  </si>
  <si>
    <t>V h</t>
  </si>
  <si>
    <t>h исп</t>
  </si>
  <si>
    <t>H</t>
  </si>
  <si>
    <t>V пр</t>
  </si>
  <si>
    <t>V обр</t>
  </si>
  <si>
    <t>ПЗ 41</t>
  </si>
  <si>
    <t>ПЗ 42</t>
  </si>
  <si>
    <t>№№</t>
  </si>
  <si>
    <t>№№
точек
набл.</t>
  </si>
  <si>
    <t>Высота наведения v, м</t>
  </si>
  <si>
    <t>Отсчет по дальномеру kl, м</t>
  </si>
  <si>
    <t>Отсчет по гориз. Кругу</t>
  </si>
  <si>
    <t>Отсчет по вертик. Кругу</t>
  </si>
  <si>
    <t>Угол наклона u</t>
  </si>
  <si>
    <t>Гориз. проложение d, м</t>
  </si>
  <si>
    <t>Превышение h/, м</t>
  </si>
  <si>
    <t>i-V, м</t>
  </si>
  <si>
    <t>Полн. превыш. h, м</t>
  </si>
  <si>
    <t>Отметки реечн. точек Hр.т., м</t>
  </si>
  <si>
    <t>П3 41</t>
  </si>
  <si>
    <t xml:space="preserve"> П3 42</t>
  </si>
  <si>
    <t>Дирекционные углы</t>
  </si>
  <si>
    <t xml:space="preserve">Х, м </t>
  </si>
  <si>
    <t>Y, м</t>
  </si>
  <si>
    <t>Н, м</t>
  </si>
  <si>
    <t>ПЗ40 – ПЗ41</t>
  </si>
  <si>
    <t>ПЗ42 – ПЗ42</t>
  </si>
  <si>
    <t>22°22'</t>
  </si>
  <si>
    <t>138°51'</t>
  </si>
  <si>
    <t>30°30'</t>
  </si>
  <si>
    <t>146°59'</t>
  </si>
  <si>
    <t>!</t>
  </si>
  <si>
    <t>Активный Вариант➡️</t>
  </si>
  <si>
    <t>Измеренные углы βизм(пра./лев.)</t>
  </si>
  <si>
    <t>v</t>
  </si>
  <si>
    <t>Поправки vβ</t>
  </si>
  <si>
    <t>Исправленные углы β</t>
  </si>
  <si>
    <r>
      <t xml:space="preserve">Дирекционные углы </t>
    </r>
    <r>
      <rPr>
        <sz val="11"/>
        <color rgb="FFFFFFFF"/>
        <rFont val="JetBrains Mono"/>
        <family val="3"/>
      </rPr>
      <t>α</t>
    </r>
  </si>
  <si>
    <t>Горизонтальные проложения сторон d, м</t>
  </si>
  <si>
    <t>Приращение координат, м</t>
  </si>
  <si>
    <t>вычисленные</t>
  </si>
  <si>
    <t>исправленные</t>
  </si>
  <si>
    <r>
      <rPr>
        <sz val="11"/>
        <color rgb="FFFFFFFF"/>
        <rFont val="JetBrains Mono"/>
        <family val="3"/>
      </rPr>
      <t>Δ</t>
    </r>
    <r>
      <rPr>
        <sz val="11"/>
        <color rgb="FFFFFFFF"/>
        <rFont val="JetBrains Mono"/>
        <family val="2"/>
        <charset val="204"/>
      </rPr>
      <t>X</t>
    </r>
  </si>
  <si>
    <t>ΔY</t>
  </si>
  <si>
    <t>X</t>
  </si>
  <si>
    <t>Y</t>
  </si>
  <si>
    <t>Координаты точек хода, м</t>
  </si>
  <si>
    <t>ПЗ 40</t>
  </si>
  <si>
    <t>ПЗ 43</t>
  </si>
  <si>
    <t>ТК. ТАБЛИЦА ОДИНАКОВАЯ ЗДЕСЬ БУДУТ ПРОСТО ЗНАЧЕНИЯ</t>
  </si>
  <si>
    <r>
      <t>S</t>
    </r>
    <r>
      <rPr>
        <sz val="8"/>
        <color rgb="FFFFFFFF"/>
        <rFont val="JetBrains Mono"/>
        <family val="3"/>
        <scheme val="minor"/>
      </rPr>
      <t>ср</t>
    </r>
  </si>
  <si>
    <t>-</t>
  </si>
  <si>
    <t>201°56,5'</t>
  </si>
  <si>
    <t>76°17,5'</t>
  </si>
  <si>
    <t>176°57,0'</t>
  </si>
  <si>
    <t>86°35,5'</t>
  </si>
  <si>
    <t>241°43,0'</t>
  </si>
  <si>
    <t>Σβпр =</t>
  </si>
  <si>
    <t>Σβт =</t>
  </si>
  <si>
    <t>fβ =</t>
  </si>
  <si>
    <t xml:space="preserve"> 783° 29,5 '</t>
  </si>
  <si>
    <t>fβдоп =</t>
  </si>
  <si>
    <t xml:space="preserve"> 0° 2,2'</t>
  </si>
  <si>
    <t>Σvβ =</t>
  </si>
  <si>
    <t>fβупр =</t>
  </si>
  <si>
    <t xml:space="preserve"> 0° 0,5 ' 0"</t>
  </si>
  <si>
    <t xml:space="preserve"> 0° 0 ' 0"</t>
  </si>
  <si>
    <r>
      <t>Σ</t>
    </r>
    <r>
      <rPr>
        <sz val="11"/>
        <color rgb="FFFFFFFF"/>
        <rFont val="JetBrains Mono"/>
        <family val="3"/>
      </rPr>
      <t>Δ</t>
    </r>
    <r>
      <rPr>
        <sz val="11"/>
        <color rgb="FFFFFFFF"/>
        <rFont val="JetBrains Mono"/>
        <family val="2"/>
        <charset val="204"/>
      </rPr>
      <t>Xпр</t>
    </r>
    <r>
      <rPr>
        <sz val="11"/>
        <color rgb="FFFFFFFF"/>
        <rFont val="JetBrains Mono"/>
        <family val="2"/>
        <charset val="204"/>
        <scheme val="minor"/>
      </rPr>
      <t xml:space="preserve"> =</t>
    </r>
  </si>
  <si>
    <r>
      <t>Σ</t>
    </r>
    <r>
      <rPr>
        <sz val="11"/>
        <color rgb="FFFFFFFF"/>
        <rFont val="JetBrains Mono"/>
        <family val="3"/>
      </rPr>
      <t>ΔY</t>
    </r>
    <r>
      <rPr>
        <sz val="11"/>
        <color rgb="FFFFFFFF"/>
        <rFont val="JetBrains Mono"/>
        <family val="2"/>
        <charset val="204"/>
      </rPr>
      <t>пр</t>
    </r>
    <r>
      <rPr>
        <sz val="11"/>
        <color rgb="FFFFFFFF"/>
        <rFont val="JetBrains Mono"/>
        <family val="2"/>
        <charset val="204"/>
        <scheme val="minor"/>
      </rPr>
      <t xml:space="preserve"> =</t>
    </r>
  </si>
  <si>
    <t>ΣΔXт =</t>
  </si>
  <si>
    <t>ΣΔYт =</t>
  </si>
  <si>
    <t>fx =</t>
  </si>
  <si>
    <t>fy =</t>
  </si>
  <si>
    <t>fабс =</t>
  </si>
  <si>
    <t>fотн =</t>
  </si>
  <si>
    <t>33°33'</t>
  </si>
  <si>
    <t>150°02'</t>
  </si>
  <si>
    <t xml:space="preserve"> 1° 31,5' </t>
  </si>
  <si>
    <t xml:space="preserve"> -1° 44,5' </t>
  </si>
  <si>
    <t xml:space="preserve"> -0° 25,5' </t>
  </si>
  <si>
    <t xml:space="preserve"> -1° 30,5' </t>
  </si>
  <si>
    <t xml:space="preserve"> 1° 44,5' </t>
  </si>
  <si>
    <t xml:space="preserve"> 0° 26,5' </t>
  </si>
  <si>
    <t xml:space="preserve"> -0° 12' </t>
  </si>
  <si>
    <t xml:space="preserve"> 0° 13' </t>
  </si>
  <si>
    <t>fh=</t>
  </si>
  <si>
    <t>Σvh =</t>
  </si>
  <si>
    <t>fдоп =</t>
  </si>
  <si>
    <t>Hрп34, м</t>
  </si>
  <si>
    <t>Hрп152, м</t>
  </si>
  <si>
    <t>α</t>
  </si>
  <si>
    <t>Р1, м</t>
  </si>
  <si>
    <t>l1, м</t>
  </si>
  <si>
    <t>У1 (вправо)</t>
  </si>
  <si>
    <t>Р2, м</t>
  </si>
  <si>
    <t>l2, м</t>
  </si>
  <si>
    <t>У2 (влево)</t>
  </si>
  <si>
    <t>141°53'</t>
  </si>
  <si>
    <t>16°09'</t>
  </si>
  <si>
    <t>20°21'</t>
  </si>
  <si>
    <t>233°42'</t>
  </si>
  <si>
    <t>14°31'</t>
  </si>
  <si>
    <t>19°49'</t>
  </si>
  <si>
    <t>203°55'</t>
  </si>
  <si>
    <t>12°21'</t>
  </si>
  <si>
    <t>21°10'</t>
  </si>
  <si>
    <t>145°50'</t>
  </si>
  <si>
    <t>12°34'</t>
  </si>
  <si>
    <t>27°59</t>
  </si>
  <si>
    <t>23°23'</t>
  </si>
  <si>
    <t>139°52'</t>
  </si>
  <si>
    <t>№
связующих
точек</t>
  </si>
  <si>
    <t>Число станций в секции ni</t>
  </si>
  <si>
    <t xml:space="preserve">Средине превышения по секциям Σhср, мм   </t>
  </si>
  <si>
    <t>Поправки v, мм</t>
  </si>
  <si>
    <t>Отметки связующих точек H, м</t>
  </si>
  <si>
    <t>Р 34</t>
  </si>
  <si>
    <t>ПК 5</t>
  </si>
  <si>
    <t>ПК 12</t>
  </si>
  <si>
    <t>Р 152</t>
  </si>
  <si>
    <t>Σhт=</t>
  </si>
  <si>
    <t>Σhпр=</t>
  </si>
  <si>
    <t>fhдоп=</t>
  </si>
  <si>
    <t>Исправленные средние превышения, мм</t>
  </si>
  <si>
    <t>№ ст.</t>
  </si>
  <si>
    <t>№№ точек</t>
  </si>
  <si>
    <t>Отсчеты по рейке, мм</t>
  </si>
  <si>
    <t>передние b</t>
  </si>
  <si>
    <t>задние  a</t>
  </si>
  <si>
    <t>промеж. c</t>
  </si>
  <si>
    <t>Превышения h, мм</t>
  </si>
  <si>
    <t>+</t>
  </si>
  <si>
    <t>Средние превышения hср, мм</t>
  </si>
  <si>
    <t>Гор. инстр. ГИ, м</t>
  </si>
  <si>
    <t>Отметки H, м</t>
  </si>
  <si>
    <t>ПК0</t>
  </si>
  <si>
    <t>Р34</t>
  </si>
  <si>
    <t>ПК1</t>
  </si>
  <si>
    <t>Х</t>
  </si>
  <si>
    <t>ПК2</t>
  </si>
  <si>
    <t>ПК3</t>
  </si>
  <si>
    <t>ПК4</t>
  </si>
  <si>
    <t>ПР+05</t>
  </si>
  <si>
    <t>ПР+30</t>
  </si>
  <si>
    <t>Л+20</t>
  </si>
  <si>
    <t>Л+30</t>
  </si>
  <si>
    <t>ПК5</t>
  </si>
  <si>
    <t>Примечание</t>
  </si>
  <si>
    <t>поперечник взят на ПК4+71</t>
  </si>
  <si>
    <t>ПК 6</t>
  </si>
  <si>
    <t>ПК 7</t>
  </si>
  <si>
    <t>ПК 8</t>
  </si>
  <si>
    <t>ПК 9</t>
  </si>
  <si>
    <t>ПК 10</t>
  </si>
  <si>
    <t>ПК11</t>
  </si>
  <si>
    <t>ПК12</t>
  </si>
  <si>
    <t>ПК 13</t>
  </si>
  <si>
    <t>ПК 14</t>
  </si>
  <si>
    <t>Р 148</t>
  </si>
  <si>
    <t>ПК 16</t>
  </si>
  <si>
    <t>ПК 17</t>
  </si>
  <si>
    <t>ПР +10</t>
  </si>
  <si>
    <t>ПР +30</t>
  </si>
  <si>
    <t>Л +15</t>
  </si>
  <si>
    <t>Л +30</t>
  </si>
  <si>
    <t>ПК 18</t>
  </si>
  <si>
    <t>ПК 19</t>
  </si>
  <si>
    <t>ПК 20</t>
  </si>
  <si>
    <t>208°03'</t>
  </si>
  <si>
    <t>28°38'</t>
  </si>
  <si>
    <t>19°34'</t>
  </si>
  <si>
    <t>133°43'</t>
  </si>
  <si>
    <t>27°59'</t>
  </si>
  <si>
    <t>18°02'</t>
  </si>
  <si>
    <t xml:space="preserve"> </t>
  </si>
  <si>
    <t>149°16'</t>
  </si>
  <si>
    <t>17°44'</t>
  </si>
  <si>
    <t>18°48</t>
  </si>
  <si>
    <t>Х1</t>
  </si>
  <si>
    <t>кол 1</t>
  </si>
  <si>
    <t>кол 2</t>
  </si>
  <si>
    <t>Х2</t>
  </si>
  <si>
    <t>кол 3</t>
  </si>
  <si>
    <t>ПК 0</t>
  </si>
  <si>
    <t>ПК 1</t>
  </si>
  <si>
    <t>ПК 2</t>
  </si>
  <si>
    <t>ПК 3</t>
  </si>
  <si>
    <t>ПК 4</t>
  </si>
  <si>
    <t>ПК 11</t>
  </si>
  <si>
    <t>ПК 15</t>
  </si>
  <si>
    <t>Поправки v, мм=</t>
  </si>
  <si>
    <t xml:space="preserve"> № кольев</t>
  </si>
  <si>
    <t>Отметки кольев Нк, м</t>
  </si>
  <si>
    <t>Высота кольев над уровнем воды t, мм</t>
  </si>
  <si>
    <t>Отметки уровней воды у кольев Ну, м</t>
  </si>
  <si>
    <t>Расстояние между кольями, d, м</t>
  </si>
  <si>
    <t>Уклоны на отдельных участках с точностью до 0,000001, i</t>
  </si>
  <si>
    <t>Превышения между уровнями воды, h, мм</t>
  </si>
  <si>
    <t>ПК 14+50</t>
  </si>
  <si>
    <t>ПК 15+49</t>
  </si>
  <si>
    <t>ПК 15 =</t>
  </si>
  <si>
    <t>ПО</t>
  </si>
  <si>
    <t xml:space="preserve"> 12° 2 ' 0"</t>
  </si>
  <si>
    <t xml:space="preserve"> 78° 11 ' 0"</t>
  </si>
  <si>
    <t xml:space="preserve"> 136° 24 ' 0"</t>
  </si>
  <si>
    <t xml:space="preserve"> 144° 55 ' 0"</t>
  </si>
  <si>
    <t xml:space="preserve"> 195° 27 ' 0"</t>
  </si>
  <si>
    <t xml:space="preserve"> 125° 25 ' 0"</t>
  </si>
  <si>
    <t xml:space="preserve"> 181° 21 ' 0"</t>
  </si>
  <si>
    <t xml:space="preserve"> 231° 15 ' 0"</t>
  </si>
  <si>
    <t xml:space="preserve"> 337° 36 ' 0"</t>
  </si>
  <si>
    <t xml:space="preserve"> 104° 16 ' 0"</t>
  </si>
  <si>
    <t xml:space="preserve"> 253° 9 ' 0"</t>
  </si>
  <si>
    <t xml:space="preserve"> 277° 48 ' 0"</t>
  </si>
  <si>
    <t xml:space="preserve"> 279° 40 ' 0"</t>
  </si>
  <si>
    <t xml:space="preserve"> 46° 59 ' 0"</t>
  </si>
  <si>
    <t xml:space="preserve"> 101° 27 ' 0"</t>
  </si>
  <si>
    <t xml:space="preserve"> 265° 25 ' 0"</t>
  </si>
  <si>
    <t xml:space="preserve"> 317° 26 ' 0"</t>
  </si>
  <si>
    <t xml:space="preserve"> 12° 57 ' 0"</t>
  </si>
  <si>
    <t xml:space="preserve"> 178° 1 ' 0"</t>
  </si>
  <si>
    <t xml:space="preserve"> 178° 33 ' 0"</t>
  </si>
  <si>
    <t xml:space="preserve"> 234° 56 ' 0"</t>
  </si>
  <si>
    <t xml:space="preserve"> 275° 51 ' 0"</t>
  </si>
  <si>
    <t xml:space="preserve"> 334° 46 ' 0"</t>
  </si>
  <si>
    <t>ПЗ41</t>
  </si>
  <si>
    <t>ПЗ42</t>
  </si>
  <si>
    <t>ПЗ41 - ПЗ42</t>
  </si>
  <si>
    <t>111 - ПЗ41</t>
  </si>
  <si>
    <t>112 - 111</t>
  </si>
  <si>
    <t>113 - 112</t>
  </si>
  <si>
    <t>ПЗ42 - 113</t>
  </si>
  <si>
    <t>ИНТ</t>
  </si>
  <si>
    <t>СОЕД</t>
  </si>
  <si>
    <t>СОЕДП</t>
  </si>
  <si>
    <t>111</t>
  </si>
  <si>
    <t>112</t>
  </si>
  <si>
    <t>113</t>
  </si>
  <si>
    <t>1°01'</t>
  </si>
  <si>
    <t>117°30'</t>
  </si>
  <si>
    <t>2°02'</t>
  </si>
  <si>
    <t>118°31'</t>
  </si>
  <si>
    <t>3°03'</t>
  </si>
  <si>
    <t>119°32'</t>
  </si>
  <si>
    <t>4°04'</t>
  </si>
  <si>
    <t>120°33'</t>
  </si>
  <si>
    <t>5°05'</t>
  </si>
  <si>
    <t>121°34'</t>
  </si>
  <si>
    <t>6°06'</t>
  </si>
  <si>
    <t>122°35'</t>
  </si>
  <si>
    <t>7°07'</t>
  </si>
  <si>
    <t>123°36'</t>
  </si>
  <si>
    <t>8°08'</t>
  </si>
  <si>
    <t>124°37'</t>
  </si>
  <si>
    <t>9°09'</t>
  </si>
  <si>
    <t>125°38'</t>
  </si>
  <si>
    <t>10°10'</t>
  </si>
  <si>
    <t>126°39'</t>
  </si>
  <si>
    <t>11°11'</t>
  </si>
  <si>
    <t>127°40'</t>
  </si>
  <si>
    <t>12°12'</t>
  </si>
  <si>
    <t>128°41'</t>
  </si>
  <si>
    <t>13°13'</t>
  </si>
  <si>
    <t>129°42'</t>
  </si>
  <si>
    <t>14°14'</t>
  </si>
  <si>
    <t>130°43'</t>
  </si>
  <si>
    <t>15°15'</t>
  </si>
  <si>
    <t>131°44'</t>
  </si>
  <si>
    <t>16°16'</t>
  </si>
  <si>
    <t>132°45'</t>
  </si>
  <si>
    <t>17°17'</t>
  </si>
  <si>
    <t>133°46'</t>
  </si>
  <si>
    <t>18°18'</t>
  </si>
  <si>
    <t>134°47'</t>
  </si>
  <si>
    <t>19°19'</t>
  </si>
  <si>
    <t>135°48'</t>
  </si>
  <si>
    <t>20°20'</t>
  </si>
  <si>
    <t>136°49'</t>
  </si>
  <si>
    <t>21°21'</t>
  </si>
  <si>
    <t>137°50'</t>
  </si>
  <si>
    <t>24°24'</t>
  </si>
  <si>
    <t>140°53'</t>
  </si>
  <si>
    <t>25°25'</t>
  </si>
  <si>
    <t>141°54'</t>
  </si>
  <si>
    <t>26°26'</t>
  </si>
  <si>
    <t>142°55'</t>
  </si>
  <si>
    <t>27°27'</t>
  </si>
  <si>
    <t>143°56</t>
  </si>
  <si>
    <t>28°28'</t>
  </si>
  <si>
    <t>144°57'</t>
  </si>
  <si>
    <t>29°29'</t>
  </si>
  <si>
    <t>145°58'</t>
  </si>
  <si>
    <t>31°31'</t>
  </si>
  <si>
    <t>148°00'</t>
  </si>
  <si>
    <t>32°32'</t>
  </si>
  <si>
    <t>149°01'</t>
  </si>
  <si>
    <t>34°34'</t>
  </si>
  <si>
    <t>151°03'</t>
  </si>
  <si>
    <t>35°35'</t>
  </si>
  <si>
    <t>152°04'</t>
  </si>
  <si>
    <t>36°36'</t>
  </si>
  <si>
    <t>153°05'</t>
  </si>
  <si>
    <t>37°37'</t>
  </si>
  <si>
    <t>154°06'</t>
  </si>
  <si>
    <t>38°38'</t>
  </si>
  <si>
    <t>155°07'</t>
  </si>
  <si>
    <t>39°39'</t>
  </si>
  <si>
    <t>156°08'</t>
  </si>
  <si>
    <t>40°40'</t>
  </si>
  <si>
    <t>157°09'</t>
  </si>
  <si>
    <t>41°41'</t>
  </si>
  <si>
    <t>158°10'</t>
  </si>
  <si>
    <t>42°42'</t>
  </si>
  <si>
    <t>159°11'</t>
  </si>
  <si>
    <t>43°43'</t>
  </si>
  <si>
    <t>160°12'</t>
  </si>
  <si>
    <t>44°44'</t>
  </si>
  <si>
    <t>161°13'</t>
  </si>
  <si>
    <t>45°45'</t>
  </si>
  <si>
    <t>162°14'</t>
  </si>
  <si>
    <t>46°46'</t>
  </si>
  <si>
    <t>163°15'</t>
  </si>
  <si>
    <t>47°47'</t>
  </si>
  <si>
    <t>164°16'</t>
  </si>
  <si>
    <t>48°48'</t>
  </si>
  <si>
    <t>165°17'</t>
  </si>
  <si>
    <t>49°49'</t>
  </si>
  <si>
    <t>166°18'</t>
  </si>
  <si>
    <t>50°50'</t>
  </si>
  <si>
    <t>167°19'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</si>
</sst>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-* #,##0\ &quot;₽&quot;_-;\-* #,##0\ &quot;₽&quot;_-;_-* &quot;-&quot;\ &quot;₽&quot;_-;_-@_-"/>
    <numFmt numFmtId="165" formatCode="_-* #,##0_-;\-* #,##0_-;_-* &quot;-&quot;_-;_-@_-"/>
    <numFmt numFmtId="166" formatCode="_-* #,##0.00\ &quot;₽&quot;_-;\-* #,##0.00\ &quot;₽&quot;_-;_-* &quot;-&quot;??\ &quot;₽&quot;_-;_-@_-"/>
    <numFmt numFmtId="167" formatCode="_-* #,##0.00_-;\-* #,##0.00_-;_-* &quot;-&quot;??_-;_-@_-"/>
    <numFmt numFmtId="168" formatCode="0.00000"/>
    <numFmt numFmtId="169" formatCode="0.000"/>
    <numFmt numFmtId="170" formatCode="0000"/>
    <numFmt numFmtId="171" formatCode="0.000000"/>
  </numFmts>
  <fonts count="38">
    <font>
      <sz val="11"/>
      <color rgb="FFFFFFFF"/>
      <name val="JetBrains Mono"/>
      <family val="2"/>
      <charset val="204"/>
      <scheme val="minor"/>
    </font>
    <font>
      <sz val="8"/>
      <name val="JetBrains Mono"/>
      <family val="2"/>
      <charset val="204"/>
      <scheme val="minor"/>
    </font>
    <font>
      <sz val="13"/>
      <color rgb="FFFFFFFF"/>
      <name val="JetBrains Mono"/>
      <family val="2"/>
      <charset val="204"/>
    </font>
    <font>
      <sz val="13"/>
      <color rgb="FF000000"/>
      <name val="JetBrains Mono"/>
      <family val="2"/>
      <charset val="204"/>
    </font>
    <font>
      <sz val="13"/>
      <color rgb="FF63FFF9"/>
      <name val="JetBrains Mono"/>
      <family val="2"/>
      <charset val="204"/>
    </font>
    <font>
      <b/>
      <sz val="13"/>
      <color rgb="FF0582FF"/>
      <name val="JetBrains Mono"/>
      <family val="2"/>
      <charset val="204"/>
    </font>
    <font>
      <b/>
      <sz val="13"/>
      <color rgb="FF000000"/>
      <name val="JetBrains Mono"/>
      <family val="2"/>
      <charset val="204"/>
    </font>
    <font>
      <sz val="11"/>
      <color rgb="FFFFFFFF"/>
      <name val="JetBrains Mono"/>
      <family val="2"/>
      <charset val="204"/>
      <scheme val="minor"/>
    </font>
    <font>
      <sz val="13"/>
      <color rgb="FFFF9EFF"/>
      <name val="JetBrains Mono"/>
      <family val="2"/>
      <charset val="204"/>
    </font>
    <font>
      <sz val="13"/>
      <color rgb="FFC0C089"/>
      <name val="JetBrains Mono"/>
      <family val="2"/>
      <charset val="204"/>
    </font>
    <font>
      <sz val="13"/>
      <color rgb="FF0582FF"/>
      <name val="JetBrains Mono"/>
      <family val="2"/>
      <charset val="204"/>
    </font>
    <font>
      <sz val="13"/>
      <color rgb="FF63A8FF"/>
      <name val="JetBrains Mono"/>
      <family val="2"/>
      <charset val="204"/>
    </font>
    <font>
      <b/>
      <sz val="13"/>
      <color rgb="FFC0C0C0"/>
      <name val="JetBrains Mono"/>
      <family val="2"/>
      <charset val="204"/>
    </font>
    <font>
      <b/>
      <sz val="13"/>
      <color rgb="FFFFFFFF"/>
      <name val="JetBrains Mono"/>
      <family val="2"/>
      <charset val="204"/>
    </font>
    <font>
      <sz val="13"/>
      <color rgb="FF00FFFF"/>
      <name val="JetBrains Mono"/>
      <family val="2"/>
      <charset val="204"/>
    </font>
    <font>
      <sz val="11"/>
      <color rgb="FF000000"/>
      <name val="JetBrains Mono"/>
      <family val="2"/>
      <charset val="204"/>
      <scheme val="minor"/>
    </font>
    <font>
      <b/>
      <sz val="15"/>
      <color rgb="FFFFFFFF"/>
      <name val="JetBrains Mono"/>
      <family val="2"/>
      <charset val="204"/>
    </font>
    <font>
      <b/>
      <sz val="11"/>
      <color rgb="FFFFFFFF"/>
      <name val="JetBrains Mono"/>
      <family val="2"/>
      <charset val="204"/>
    </font>
    <font>
      <sz val="18"/>
      <color rgb="FFFFFFFF"/>
      <name val="JetBrains Mono Light"/>
      <family val="2"/>
      <charset val="204"/>
      <scheme val="major"/>
    </font>
    <font>
      <i/>
      <sz val="13"/>
      <color rgb="FFFFFFFF"/>
      <name val="JetBrains Mono"/>
      <family val="2"/>
      <charset val="204"/>
    </font>
    <font>
      <sz val="11"/>
      <color theme="0"/>
      <name val="JetBrains Mono"/>
      <family val="2"/>
      <scheme val="minor"/>
    </font>
    <font>
      <b/>
      <sz val="11"/>
      <color theme="0"/>
      <name val="JetBrains Mono"/>
      <family val="2"/>
      <scheme val="minor"/>
    </font>
    <font>
      <u/>
      <sz val="11"/>
      <color theme="0"/>
      <name val="JetBrains Mono"/>
      <family val="2"/>
      <scheme val="minor"/>
    </font>
    <font>
      <b/>
      <i/>
      <sz val="11"/>
      <color theme="0"/>
      <name val="JetBrains Mono"/>
      <family val="2"/>
      <scheme val="minor"/>
    </font>
    <font>
      <b/>
      <sz val="11"/>
      <color rgb="FFFFFFFF"/>
      <name val="JetBrains Mono"/>
      <family val="3"/>
      <scheme val="minor"/>
    </font>
    <font>
      <sz val="11"/>
      <color theme="9" tint="0.39997558519241921"/>
      <name val="JetBrains Mono"/>
      <family val="3"/>
      <scheme val="minor"/>
    </font>
    <font>
      <sz val="11"/>
      <color rgb="FFFF0000"/>
      <name val="JetBrains Mono"/>
      <family val="2"/>
      <charset val="204"/>
      <scheme val="minor"/>
    </font>
    <font>
      <sz val="13"/>
      <color rgb="FFFFFFFF"/>
      <name val="Arial"/>
      <family val="2"/>
    </font>
    <font>
      <sz val="11"/>
      <color rgb="FFFFFFFF"/>
      <name val="JetBrains Mono"/>
      <family val="3"/>
    </font>
    <font>
      <sz val="11"/>
      <color rgb="FFFFFFFF"/>
      <name val="JetBrains Mono"/>
      <family val="2"/>
      <charset val="204"/>
    </font>
    <font>
      <u/>
      <sz val="11"/>
      <color rgb="FFFFFFFF"/>
      <name val="JetBrains Mono"/>
      <family val="2"/>
      <charset val="204"/>
      <scheme val="minor"/>
    </font>
    <font>
      <i/>
      <sz val="11"/>
      <color rgb="FFFFFFFF"/>
      <name val="JetBrains Mono"/>
      <family val="3"/>
      <scheme val="minor"/>
    </font>
    <font>
      <sz val="8"/>
      <color rgb="FFFFFFFF"/>
      <name val="JetBrains Mono"/>
      <family val="3"/>
      <scheme val="minor"/>
    </font>
    <font>
      <sz val="11"/>
      <color rgb="FFFFFFFF"/>
      <name val="JetBrains Mono"/>
      <family val="3"/>
      <scheme val="minor"/>
    </font>
    <font>
      <sz val="9"/>
      <color rgb="FFFFFFFF"/>
      <name val="Arial"/>
      <family val="2"/>
    </font>
    <font>
      <sz val="13"/>
      <color rgb="FFFFFFFF"/>
      <name val="JetBrains Mono"/>
      <family val="3"/>
      <scheme val="minor"/>
    </font>
    <font>
      <sz val="10"/>
      <color rgb="FF6897BB"/>
      <name val="Arial Unicode MS"/>
    </font>
    <font>
      <sz val="11"/>
      <color rgb="FFFFFFFF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261E0D"/>
      </patternFill>
    </fill>
    <fill>
      <patternFill patternType="solid">
        <fgColor rgb="FF031B29"/>
      </patternFill>
    </fill>
    <fill>
      <patternFill patternType="solid">
        <fgColor rgb="FF121212"/>
      </patternFill>
    </fill>
    <fill>
      <patternFill patternType="solid">
        <fgColor rgb="FF000D33"/>
      </patternFill>
    </fill>
    <fill>
      <patternFill patternType="solid">
        <fgColor rgb="FF221408"/>
      </patternFill>
    </fill>
    <fill>
      <patternFill patternType="solid">
        <fgColor rgb="FF1D1025"/>
      </patternFill>
    </fill>
    <fill>
      <patternFill patternType="solid">
        <fgColor rgb="FF4B3918"/>
      </patternFill>
    </fill>
    <fill>
      <patternFill patternType="solid">
        <fgColor rgb="FF073452"/>
      </patternFill>
    </fill>
    <fill>
      <patternFill patternType="solid">
        <fgColor rgb="FF242424"/>
      </patternFill>
    </fill>
    <fill>
      <patternFill patternType="solid">
        <fgColor rgb="FF001966"/>
      </patternFill>
    </fill>
    <fill>
      <patternFill patternType="solid">
        <fgColor rgb="FF422811"/>
      </patternFill>
    </fill>
    <fill>
      <patternFill patternType="solid">
        <fgColor rgb="FF391F4B"/>
      </patternFill>
    </fill>
    <fill>
      <patternFill patternType="solid">
        <fgColor rgb="FF715624"/>
      </patternFill>
    </fill>
    <fill>
      <patternFill patternType="solid">
        <fgColor rgb="FF0B4F7B"/>
      </patternFill>
    </fill>
    <fill>
      <patternFill patternType="solid">
        <fgColor rgb="FF363636"/>
      </patternFill>
    </fill>
    <fill>
      <patternFill patternType="solid">
        <fgColor rgb="FF002699"/>
      </patternFill>
    </fill>
    <fill>
      <patternFill patternType="solid">
        <fgColor rgb="FF643D19"/>
      </patternFill>
    </fill>
    <fill>
      <patternFill patternType="solid">
        <fgColor rgb="FF562F71"/>
      </patternFill>
    </fill>
    <fill>
      <patternFill patternType="solid">
        <fgColor rgb="FFBB8D3B"/>
      </patternFill>
    </fill>
    <fill>
      <patternFill patternType="solid">
        <fgColor rgb="FF1282CE"/>
      </patternFill>
    </fill>
    <fill>
      <patternFill patternType="solid">
        <fgColor rgb="FF5A5A5A"/>
      </patternFill>
    </fill>
    <fill>
      <patternFill patternType="solid">
        <fgColor rgb="FF003FFF"/>
      </patternFill>
    </fill>
    <fill>
      <patternFill patternType="solid">
        <fgColor rgb="FFA4642A"/>
      </patternFill>
    </fill>
    <fill>
      <patternFill patternType="solid">
        <fgColor rgb="FF8F52B8"/>
      </patternFill>
    </fill>
    <fill>
      <patternFill patternType="solid">
        <fgColor rgb="FF003831"/>
      </patternFill>
    </fill>
    <fill>
      <patternFill patternType="solid">
        <fgColor rgb="FF0D0D0D"/>
      </patternFill>
    </fill>
    <fill>
      <patternFill patternType="solid">
        <fgColor rgb="FF000000"/>
        <bgColor indexed="64"/>
      </patternFill>
    </fill>
    <fill>
      <patternFill patternType="solid">
        <fgColor rgb="FF391031"/>
      </patternFill>
    </fill>
    <fill>
      <patternFill patternType="solid">
        <fgColor rgb="FF003366"/>
      </patternFill>
    </fill>
    <fill>
      <patternFill patternType="solid">
        <fgColor rgb="FF001463"/>
      </patternFill>
    </fill>
    <fill>
      <patternFill patternType="solid">
        <fgColor rgb="FF2E3440"/>
        <bgColor indexed="64"/>
      </patternFill>
    </fill>
    <fill>
      <patternFill patternType="solid">
        <fgColor rgb="FFB2B2B2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454545"/>
      </left>
      <right style="thin">
        <color rgb="FF454545"/>
      </right>
      <top/>
      <bottom/>
      <diagonal/>
    </border>
    <border>
      <left style="thin">
        <color rgb="FF454545"/>
      </left>
      <right style="thin">
        <color rgb="FF454545"/>
      </right>
      <top/>
      <bottom style="thin">
        <color rgb="FF454545"/>
      </bottom>
      <diagonal/>
    </border>
    <border>
      <left style="thin">
        <color rgb="FF454545"/>
      </left>
      <right style="thin">
        <color rgb="FF454545"/>
      </right>
      <top style="thin">
        <color rgb="FF454545"/>
      </top>
      <bottom style="thin">
        <color rgb="FF454545"/>
      </bottom>
      <diagonal/>
    </border>
    <border>
      <left style="thin">
        <color rgb="FF454545"/>
      </left>
      <right/>
      <top style="thin">
        <color rgb="FF454545"/>
      </top>
      <bottom style="thin">
        <color rgb="FF454545"/>
      </bottom>
      <diagonal/>
    </border>
    <border>
      <left/>
      <right/>
      <top style="thin">
        <color rgb="FF454545"/>
      </top>
      <bottom style="thin">
        <color rgb="FF454545"/>
      </bottom>
      <diagonal/>
    </border>
    <border>
      <left/>
      <right style="thin">
        <color rgb="FF454545"/>
      </right>
      <top style="thin">
        <color rgb="FF454545"/>
      </top>
      <bottom style="thin">
        <color rgb="FF454545"/>
      </bottom>
      <diagonal/>
    </border>
    <border>
      <left style="thin">
        <color rgb="FF454545"/>
      </left>
      <right style="thin">
        <color rgb="FF454545"/>
      </right>
      <top style="thin">
        <color rgb="FF454545"/>
      </top>
      <bottom/>
      <diagonal/>
    </border>
    <border>
      <left style="thin">
        <color rgb="FF454545"/>
      </left>
      <right/>
      <top style="thin">
        <color rgb="FF454545"/>
      </top>
      <bottom/>
      <diagonal/>
    </border>
    <border>
      <left/>
      <right style="thin">
        <color rgb="FF454545"/>
      </right>
      <top style="thin">
        <color rgb="FF454545"/>
      </top>
      <bottom/>
      <diagonal/>
    </border>
    <border>
      <left style="thin">
        <color rgb="FF454545"/>
      </left>
      <right/>
      <top/>
      <bottom style="thin">
        <color rgb="FF454545"/>
      </bottom>
      <diagonal/>
    </border>
    <border>
      <left/>
      <right style="thin">
        <color rgb="FF454545"/>
      </right>
      <top/>
      <bottom style="thin">
        <color rgb="FF454545"/>
      </bottom>
      <diagonal/>
    </border>
  </borders>
  <cellStyleXfs count="47">
    <xf numFmtId="0" fontId="0" fillId="32" borderId="11"/>
    <xf numFmtId="167" fontId="7" fillId="28" borderId="0" applyFont="0" applyBorder="0" applyAlignment="0" applyProtection="0"/>
    <xf numFmtId="165" fontId="7" fillId="28" borderId="0" applyFont="0" applyBorder="0" applyAlignment="0" applyProtection="0"/>
    <xf numFmtId="166" fontId="7" fillId="28" borderId="0" applyFont="0" applyBorder="0" applyAlignment="0" applyProtection="0"/>
    <xf numFmtId="164" fontId="7" fillId="28" borderId="0" applyFont="0" applyBorder="0" applyAlignment="0" applyProtection="0"/>
    <xf numFmtId="9" fontId="15" fillId="28" borderId="0" applyFont="0" applyBorder="0" applyAlignment="0" applyProtection="0"/>
    <xf numFmtId="0" fontId="18" fillId="32" borderId="0" applyNumberFormat="0" applyAlignment="0" applyProtection="0"/>
    <xf numFmtId="0" fontId="16" fillId="32" borderId="1" applyNumberFormat="0" applyAlignment="0" applyProtection="0"/>
    <xf numFmtId="0" fontId="13" fillId="32" borderId="2" applyNumberFormat="0" applyAlignment="0" applyProtection="0"/>
    <xf numFmtId="0" fontId="17" fillId="32" borderId="3" applyNumberFormat="0" applyAlignment="0" applyProtection="0"/>
    <xf numFmtId="0" fontId="17" fillId="32" borderId="0" applyNumberFormat="0" applyAlignment="0" applyProtection="0"/>
    <xf numFmtId="0" fontId="8" fillId="29" borderId="0" applyNumberFormat="0" applyBorder="0" applyAlignment="0" applyProtection="0"/>
    <xf numFmtId="0" fontId="4" fillId="26" borderId="0" applyNumberFormat="0" applyBorder="0" applyAlignment="0" applyProtection="0"/>
    <xf numFmtId="0" fontId="11" fillId="31" borderId="0" applyNumberFormat="0" applyBorder="0" applyAlignment="0" applyProtection="0"/>
    <xf numFmtId="0" fontId="9" fillId="30" borderId="4" applyNumberFormat="0" applyAlignment="0" applyProtection="0"/>
    <xf numFmtId="0" fontId="12" fillId="27" borderId="5" applyNumberFormat="0" applyAlignment="0" applyProtection="0"/>
    <xf numFmtId="0" fontId="5" fillId="27" borderId="4" applyNumberFormat="0" applyAlignment="0" applyProtection="0"/>
    <xf numFmtId="0" fontId="10" fillId="28" borderId="6" applyNumberFormat="0" applyAlignment="0" applyProtection="0"/>
    <xf numFmtId="0" fontId="6" fillId="22" borderId="7" applyNumberFormat="0" applyAlignment="0" applyProtection="0"/>
    <xf numFmtId="0" fontId="14" fillId="28" borderId="0" applyNumberFormat="0" applyBorder="0" applyAlignment="0" applyProtection="0"/>
    <xf numFmtId="0" fontId="15" fillId="33" borderId="11" applyNumberFormat="0" applyAlignment="0" applyProtection="0"/>
    <xf numFmtId="0" fontId="19" fillId="32" borderId="11" applyNumberFormat="0" applyAlignment="0" applyProtection="0"/>
    <xf numFmtId="0" fontId="13" fillId="32" borderId="8" applyNumberFormat="0" applyAlignment="0" applyProtection="0"/>
    <xf numFmtId="0" fontId="3" fillId="20" borderId="0" applyNumberFormat="0" applyBorder="0" applyAlignment="0" applyProtection="0"/>
    <xf numFmtId="0" fontId="2" fillId="2" borderId="0" applyNumberFormat="0" applyBorder="0" applyAlignment="0" applyProtection="0"/>
    <xf numFmtId="0" fontId="2" fillId="8" borderId="0" applyNumberFormat="0" applyBorder="0" applyAlignment="0" applyProtection="0"/>
    <xf numFmtId="0" fontId="2" fillId="14" borderId="0" applyNumberFormat="0" applyBorder="0" applyAlignment="0" applyProtection="0"/>
    <xf numFmtId="0" fontId="3" fillId="21" borderId="0" applyNumberFormat="0" applyBorder="0" applyAlignment="0" applyProtection="0"/>
    <xf numFmtId="0" fontId="2" fillId="3" borderId="0" applyNumberFormat="0" applyBorder="0" applyAlignment="0" applyProtection="0"/>
    <xf numFmtId="0" fontId="2" fillId="9" borderId="0" applyNumberFormat="0" applyBorder="0" applyAlignment="0" applyProtection="0"/>
    <xf numFmtId="0" fontId="2" fillId="15" borderId="0" applyNumberFormat="0" applyBorder="0" applyAlignment="0" applyProtection="0"/>
    <xf numFmtId="0" fontId="3" fillId="22" borderId="0" applyNumberFormat="0" applyBorder="0" applyAlignment="0" applyProtection="0"/>
    <xf numFmtId="0" fontId="2" fillId="4" borderId="0" applyNumberFormat="0" applyBorder="0" applyAlignment="0" applyProtection="0"/>
    <xf numFmtId="0" fontId="2" fillId="10" borderId="0" applyNumberFormat="0" applyBorder="0" applyAlignment="0" applyProtection="0"/>
    <xf numFmtId="0" fontId="2" fillId="16" borderId="0" applyNumberFormat="0" applyBorder="0" applyAlignment="0" applyProtection="0"/>
    <xf numFmtId="0" fontId="3" fillId="23" borderId="0" applyNumberFormat="0" applyBorder="0" applyAlignment="0" applyProtection="0"/>
    <xf numFmtId="0" fontId="2" fillId="5" borderId="0" applyNumberFormat="0" applyBorder="0" applyAlignment="0" applyProtection="0"/>
    <xf numFmtId="0" fontId="2" fillId="11" borderId="0" applyNumberFormat="0" applyBorder="0" applyAlignment="0" applyProtection="0"/>
    <xf numFmtId="0" fontId="2" fillId="17" borderId="0" applyNumberFormat="0" applyBorder="0" applyAlignment="0" applyProtection="0"/>
    <xf numFmtId="0" fontId="3" fillId="24" borderId="0" applyNumberFormat="0" applyBorder="0" applyAlignment="0" applyProtection="0"/>
    <xf numFmtId="0" fontId="2" fillId="6" borderId="0" applyNumberFormat="0" applyBorder="0" applyAlignment="0" applyProtection="0"/>
    <xf numFmtId="0" fontId="2" fillId="12" borderId="0" applyNumberFormat="0" applyBorder="0" applyAlignment="0" applyProtection="0"/>
    <xf numFmtId="0" fontId="2" fillId="18" borderId="0" applyNumberFormat="0" applyBorder="0" applyAlignment="0" applyProtection="0"/>
    <xf numFmtId="0" fontId="3" fillId="25" borderId="0" applyNumberFormat="0" applyBorder="0" applyAlignment="0" applyProtection="0"/>
    <xf numFmtId="0" fontId="2" fillId="7" borderId="0" applyNumberFormat="0" applyBorder="0" applyAlignment="0" applyProtection="0"/>
    <xf numFmtId="0" fontId="2" fillId="13" borderId="0" applyNumberFormat="0" applyBorder="0" applyAlignment="0" applyProtection="0"/>
    <xf numFmtId="0" fontId="2" fillId="19" borderId="0" applyNumberFormat="0" applyBorder="0" applyAlignment="0" applyProtection="0"/>
  </cellStyleXfs>
  <cellXfs count="108">
    <xf numFmtId="0" fontId="0" fillId="32" borderId="11" xfId="0"/>
    <xf numFmtId="0" fontId="0" fillId="32" borderId="11" xfId="0" applyAlignment="1">
      <alignment horizontal="center"/>
    </xf>
    <xf numFmtId="0" fontId="0" fillId="32" borderId="11" xfId="0" applyAlignment="1">
      <alignment horizontal="center" vertical="center" wrapText="1"/>
    </xf>
    <xf numFmtId="0" fontId="0" fillId="32" borderId="11" xfId="0" applyAlignment="1">
      <alignment horizontal="center" vertical="center"/>
    </xf>
    <xf numFmtId="0" fontId="0" fillId="32" borderId="11" xfId="0" applyAlignment="1">
      <alignment vertical="center"/>
    </xf>
    <xf numFmtId="0" fontId="20" fillId="32" borderId="11" xfId="0" applyFont="1" applyAlignment="1">
      <alignment horizontal="center"/>
    </xf>
    <xf numFmtId="0" fontId="20" fillId="32" borderId="11" xfId="0" applyFont="1"/>
    <xf numFmtId="0" fontId="21" fillId="32" borderId="11" xfId="0" applyFont="1" applyAlignment="1">
      <alignment horizontal="center"/>
    </xf>
    <xf numFmtId="0" fontId="22" fillId="32" borderId="11" xfId="0" applyFont="1"/>
    <xf numFmtId="0" fontId="23" fillId="32" borderId="11" xfId="0" applyFont="1" applyAlignment="1">
      <alignment horizontal="center" vertical="center" wrapText="1"/>
    </xf>
    <xf numFmtId="0" fontId="23" fillId="32" borderId="11" xfId="0" applyFont="1" applyAlignment="1">
      <alignment horizontal="center" vertical="center"/>
    </xf>
    <xf numFmtId="0" fontId="24" fillId="32" borderId="11" xfId="0" applyFont="1" applyAlignment="1">
      <alignment horizontal="center" vertical="center" wrapText="1"/>
    </xf>
    <xf numFmtId="0" fontId="25" fillId="32" borderId="11" xfId="0" applyFont="1" applyAlignment="1">
      <alignment horizontal="center" vertical="center" wrapText="1"/>
    </xf>
    <xf numFmtId="0" fontId="28" fillId="32" borderId="11" xfId="0" applyFont="1" applyAlignment="1">
      <alignment horizontal="center" vertical="center" wrapText="1"/>
    </xf>
    <xf numFmtId="0" fontId="19" fillId="32" borderId="11" xfId="21" applyAlignment="1">
      <alignment horizontal="center" vertical="center" wrapText="1"/>
    </xf>
    <xf numFmtId="0" fontId="14" fillId="28" borderId="11" xfId="19" applyBorder="1" applyAlignment="1">
      <alignment horizontal="center" vertical="center" wrapText="1"/>
    </xf>
    <xf numFmtId="0" fontId="31" fillId="32" borderId="11" xfId="0" applyFont="1" applyAlignment="1">
      <alignment horizontal="center"/>
    </xf>
    <xf numFmtId="2" fontId="0" fillId="32" borderId="11" xfId="0" applyNumberFormat="1" applyAlignment="1">
      <alignment horizontal="center" vertical="center"/>
    </xf>
    <xf numFmtId="2" fontId="0" fillId="32" borderId="11" xfId="0" applyNumberFormat="1" applyAlignment="1">
      <alignment horizontal="center" vertical="center" wrapText="1"/>
    </xf>
    <xf numFmtId="0" fontId="0" fillId="32" borderId="11" xfId="0" applyAlignment="1">
      <alignment horizontal="left" vertical="center"/>
    </xf>
    <xf numFmtId="0" fontId="0" fillId="32" borderId="11" xfId="0" applyAlignment="1">
      <alignment horizontal="right" vertical="center" wrapText="1"/>
    </xf>
    <xf numFmtId="0" fontId="15" fillId="33" borderId="11" xfId="20" applyAlignment="1">
      <alignment horizontal="center" vertical="center" wrapText="1"/>
    </xf>
    <xf numFmtId="0" fontId="15" fillId="33" borderId="11" xfId="20" applyAlignment="1">
      <alignment horizontal="center" vertical="center"/>
    </xf>
    <xf numFmtId="2" fontId="15" fillId="33" borderId="11" xfId="20" applyNumberFormat="1" applyAlignment="1">
      <alignment horizontal="center" vertical="center" wrapText="1"/>
    </xf>
    <xf numFmtId="0" fontId="27" fillId="32" borderId="11" xfId="0" applyFont="1"/>
    <xf numFmtId="0" fontId="30" fillId="32" borderId="11" xfId="0" applyFont="1" applyAlignment="1">
      <alignment horizontal="center" vertical="center"/>
    </xf>
    <xf numFmtId="169" fontId="0" fillId="32" borderId="11" xfId="0" applyNumberFormat="1" applyAlignment="1">
      <alignment horizontal="center" vertical="center"/>
    </xf>
    <xf numFmtId="2" fontId="0" fillId="32" borderId="11" xfId="0" applyNumberFormat="1" applyAlignment="1">
      <alignment horizontal="left" vertical="center"/>
    </xf>
    <xf numFmtId="168" fontId="0" fillId="32" borderId="11" xfId="0" applyNumberFormat="1" applyAlignment="1">
      <alignment horizontal="left" vertical="center"/>
    </xf>
    <xf numFmtId="2" fontId="20" fillId="32" borderId="11" xfId="0" applyNumberFormat="1" applyFont="1"/>
    <xf numFmtId="2" fontId="20" fillId="32" borderId="11" xfId="0" applyNumberFormat="1" applyFont="1" applyAlignment="1">
      <alignment horizontal="center"/>
    </xf>
    <xf numFmtId="0" fontId="20" fillId="32" borderId="11" xfId="0" applyFont="1" applyAlignment="1">
      <alignment horizontal="right"/>
    </xf>
    <xf numFmtId="0" fontId="20" fillId="32" borderId="11" xfId="0" applyFont="1" applyAlignment="1">
      <alignment horizontal="left"/>
    </xf>
    <xf numFmtId="2" fontId="20" fillId="32" borderId="11" xfId="0" applyNumberFormat="1" applyFont="1" applyAlignment="1">
      <alignment horizontal="left"/>
    </xf>
    <xf numFmtId="0" fontId="30" fillId="32" borderId="11" xfId="0" applyFont="1"/>
    <xf numFmtId="0" fontId="11" fillId="31" borderId="11" xfId="13" applyBorder="1" applyAlignment="1">
      <alignment horizontal="center" vertical="center"/>
    </xf>
    <xf numFmtId="0" fontId="0" fillId="32" borderId="11" xfId="0" applyAlignment="1" applyProtection="1">
      <alignment horizontal="center" vertical="center"/>
      <protection locked="0"/>
    </xf>
    <xf numFmtId="0" fontId="9" fillId="30" borderId="4" xfId="14" applyAlignment="1" applyProtection="1">
      <alignment horizontal="center" vertical="center" wrapText="1"/>
      <protection locked="0"/>
    </xf>
    <xf numFmtId="0" fontId="0" fillId="32" borderId="11" xfId="0" applyAlignment="1">
      <alignment horizontal="right" vertical="center"/>
    </xf>
    <xf numFmtId="0" fontId="0" fillId="32" borderId="9" xfId="0" applyBorder="1" applyAlignment="1">
      <alignment horizontal="right" vertical="center"/>
    </xf>
    <xf numFmtId="1" fontId="0" fillId="32" borderId="11" xfId="0" applyNumberFormat="1" applyAlignment="1">
      <alignment horizontal="center" vertical="center"/>
    </xf>
    <xf numFmtId="1" fontId="0" fillId="32" borderId="11" xfId="0" applyNumberFormat="1" applyAlignment="1">
      <alignment horizontal="left"/>
    </xf>
    <xf numFmtId="0" fontId="0" fillId="32" borderId="11" xfId="0" applyAlignment="1">
      <alignment horizontal="left"/>
    </xf>
    <xf numFmtId="0" fontId="26" fillId="32" borderId="11" xfId="0" applyFont="1" applyAlignment="1">
      <alignment wrapText="1"/>
    </xf>
    <xf numFmtId="0" fontId="0" fillId="32" borderId="11" xfId="0" applyAlignment="1">
      <alignment horizontal="center" vertical="top" wrapText="1"/>
    </xf>
    <xf numFmtId="0" fontId="24" fillId="32" borderId="11" xfId="0" applyFont="1" applyAlignment="1">
      <alignment horizontal="center"/>
    </xf>
    <xf numFmtId="170" fontId="0" fillId="32" borderId="11" xfId="0" applyNumberFormat="1" applyAlignment="1">
      <alignment horizontal="center" vertical="center"/>
    </xf>
    <xf numFmtId="170" fontId="0" fillId="32" borderId="11" xfId="0" applyNumberFormat="1"/>
    <xf numFmtId="170" fontId="0" fillId="32" borderId="9" xfId="0" applyNumberFormat="1" applyBorder="1" applyAlignment="1">
      <alignment horizontal="center" vertical="center"/>
    </xf>
    <xf numFmtId="0" fontId="9" fillId="30" borderId="4" xfId="14" applyNumberFormat="1" applyAlignment="1">
      <alignment horizontal="center" vertical="center"/>
    </xf>
    <xf numFmtId="0" fontId="14" fillId="28" borderId="4" xfId="19" applyNumberFormat="1" applyBorder="1" applyAlignment="1">
      <alignment horizontal="center" vertical="center"/>
    </xf>
    <xf numFmtId="0" fontId="14" fillId="28" borderId="11" xfId="19" applyNumberFormat="1" applyBorder="1" applyAlignment="1">
      <alignment horizontal="center" vertical="center"/>
    </xf>
    <xf numFmtId="170" fontId="14" fillId="28" borderId="4" xfId="19" applyNumberFormat="1" applyBorder="1" applyAlignment="1">
      <alignment horizontal="center" vertical="center"/>
    </xf>
    <xf numFmtId="0" fontId="12" fillId="27" borderId="5" xfId="15" applyNumberFormat="1" applyAlignment="1">
      <alignment horizontal="center" vertical="center"/>
    </xf>
    <xf numFmtId="169" fontId="14" fillId="28" borderId="11" xfId="19" applyNumberFormat="1" applyBorder="1"/>
    <xf numFmtId="2" fontId="0" fillId="32" borderId="11" xfId="0" applyNumberFormat="1" applyAlignment="1">
      <alignment vertical="center"/>
    </xf>
    <xf numFmtId="0" fontId="0" fillId="32" borderId="11" xfId="0" quotePrefix="1"/>
    <xf numFmtId="1" fontId="0" fillId="32" borderId="11" xfId="0" applyNumberFormat="1"/>
    <xf numFmtId="0" fontId="5" fillId="27" borderId="4" xfId="16"/>
    <xf numFmtId="0" fontId="12" fillId="27" borderId="5" xfId="15"/>
    <xf numFmtId="0" fontId="33" fillId="32" borderId="11" xfId="0" applyFont="1" applyAlignment="1">
      <alignment horizontal="center"/>
    </xf>
    <xf numFmtId="170" fontId="33" fillId="32" borderId="11" xfId="0" applyNumberFormat="1" applyFont="1" applyAlignment="1">
      <alignment horizontal="center"/>
    </xf>
    <xf numFmtId="0" fontId="9" fillId="30" borderId="4" xfId="14" applyAlignment="1">
      <alignment horizontal="center" vertical="center"/>
    </xf>
    <xf numFmtId="0" fontId="34" fillId="32" borderId="11" xfId="0" applyFont="1"/>
    <xf numFmtId="0" fontId="9" fillId="30" borderId="4" xfId="14" applyNumberFormat="1" applyAlignment="1">
      <alignment horizontal="center"/>
    </xf>
    <xf numFmtId="170" fontId="5" fillId="27" borderId="4" xfId="16" applyNumberFormat="1" applyAlignment="1">
      <alignment horizontal="center"/>
    </xf>
    <xf numFmtId="0" fontId="14" fillId="28" borderId="11" xfId="19" applyNumberFormat="1" applyBorder="1" applyAlignment="1">
      <alignment horizontal="center"/>
    </xf>
    <xf numFmtId="169" fontId="14" fillId="28" borderId="11" xfId="19" applyNumberFormat="1" applyBorder="1" applyAlignment="1">
      <alignment horizontal="center"/>
    </xf>
    <xf numFmtId="0" fontId="24" fillId="32" borderId="11" xfId="0" applyFont="1" applyAlignment="1">
      <alignment horizontal="center" vertical="center"/>
    </xf>
    <xf numFmtId="170" fontId="4" fillId="26" borderId="4" xfId="12" applyNumberFormat="1" applyBorder="1" applyAlignment="1">
      <alignment horizontal="center"/>
    </xf>
    <xf numFmtId="0" fontId="35" fillId="32" borderId="11" xfId="0" applyFont="1" applyAlignment="1">
      <alignment horizontal="distributed" vertical="center"/>
    </xf>
    <xf numFmtId="0" fontId="35" fillId="32" borderId="11" xfId="0" applyFont="1" applyAlignment="1">
      <alignment horizontal="distributed"/>
    </xf>
    <xf numFmtId="170" fontId="35" fillId="32" borderId="11" xfId="0" applyNumberFormat="1" applyFont="1" applyAlignment="1">
      <alignment horizontal="distributed"/>
    </xf>
    <xf numFmtId="0" fontId="0" fillId="32" borderId="11" xfId="0" applyAlignment="1">
      <alignment horizontal="distributed"/>
    </xf>
    <xf numFmtId="0" fontId="11" fillId="31" borderId="11" xfId="13" applyBorder="1" applyAlignment="1">
      <alignment horizontal="distributed"/>
    </xf>
    <xf numFmtId="0" fontId="11" fillId="31" borderId="11" xfId="13" applyBorder="1"/>
    <xf numFmtId="0" fontId="36" fillId="32" borderId="11" xfId="0" applyFont="1" applyAlignment="1">
      <alignment vertical="center"/>
    </xf>
    <xf numFmtId="0" fontId="0" fillId="32" borderId="15" xfId="0" applyBorder="1" applyAlignment="1">
      <alignment vertical="center" wrapText="1"/>
    </xf>
    <xf numFmtId="0" fontId="9" fillId="30" borderId="4" xfId="14" applyAlignment="1">
      <alignment horizontal="center"/>
    </xf>
    <xf numFmtId="170" fontId="5" fillId="27" borderId="4" xfId="16" applyNumberFormat="1" applyAlignment="1">
      <alignment horizontal="center" vertical="center"/>
    </xf>
    <xf numFmtId="171" fontId="0" fillId="32" borderId="11" xfId="0" applyNumberFormat="1"/>
    <xf numFmtId="0" fontId="0" fillId="32" borderId="11" xfId="0" applyAlignment="1">
      <alignment horizontal="right"/>
    </xf>
    <xf numFmtId="49" fontId="0" fillId="32" borderId="11" xfId="0" applyNumberFormat="1" applyAlignment="1">
      <alignment horizontal="center" vertical="center"/>
    </xf>
    <xf numFmtId="0" fontId="37" fillId="32" borderId="11" xfId="0" applyFont="1"/>
    <xf numFmtId="0" fontId="24" fillId="32" borderId="11" xfId="0" applyFont="1" applyAlignment="1">
      <alignment horizontal="center" vertical="center" wrapText="1"/>
    </xf>
    <xf numFmtId="0" fontId="11" fillId="31" borderId="12" xfId="13" applyBorder="1" applyAlignment="1">
      <alignment horizontal="center"/>
    </xf>
    <xf numFmtId="0" fontId="11" fillId="31" borderId="13" xfId="13" applyBorder="1" applyAlignment="1">
      <alignment horizontal="center"/>
    </xf>
    <xf numFmtId="0" fontId="11" fillId="31" borderId="14" xfId="13" applyBorder="1" applyAlignment="1">
      <alignment horizontal="center"/>
    </xf>
    <xf numFmtId="0" fontId="0" fillId="32" borderId="15" xfId="0" applyBorder="1" applyAlignment="1">
      <alignment horizontal="center" vertical="center" wrapText="1"/>
    </xf>
    <xf numFmtId="0" fontId="0" fillId="32" borderId="9" xfId="0" applyBorder="1" applyAlignment="1">
      <alignment horizontal="center" vertical="center" wrapText="1"/>
    </xf>
    <xf numFmtId="0" fontId="0" fillId="32" borderId="10" xfId="0" applyBorder="1" applyAlignment="1">
      <alignment horizontal="center" vertical="center" wrapText="1"/>
    </xf>
    <xf numFmtId="0" fontId="0" fillId="32" borderId="12" xfId="0" applyBorder="1" applyAlignment="1">
      <alignment horizontal="center" vertical="center" wrapText="1"/>
    </xf>
    <xf numFmtId="0" fontId="0" fillId="32" borderId="14" xfId="0" applyBorder="1" applyAlignment="1">
      <alignment horizontal="center" vertical="center" wrapText="1"/>
    </xf>
    <xf numFmtId="0" fontId="0" fillId="32" borderId="16" xfId="0" applyBorder="1" applyAlignment="1">
      <alignment horizontal="center" vertical="center" wrapText="1"/>
    </xf>
    <xf numFmtId="0" fontId="0" fillId="32" borderId="17" xfId="0" applyBorder="1" applyAlignment="1">
      <alignment horizontal="center" vertical="center" wrapText="1"/>
    </xf>
    <xf numFmtId="0" fontId="0" fillId="32" borderId="18" xfId="0" applyBorder="1" applyAlignment="1">
      <alignment horizontal="center" vertical="center" wrapText="1"/>
    </xf>
    <xf numFmtId="0" fontId="0" fillId="32" borderId="19" xfId="0" applyBorder="1" applyAlignment="1">
      <alignment horizontal="center" vertical="center" wrapText="1"/>
    </xf>
    <xf numFmtId="0" fontId="0" fillId="32" borderId="13" xfId="0" applyBorder="1" applyAlignment="1">
      <alignment horizontal="center" vertical="center" wrapText="1"/>
    </xf>
    <xf numFmtId="0" fontId="0" fillId="32" borderId="11" xfId="0" applyAlignment="1">
      <alignment horizontal="center" vertical="center"/>
    </xf>
    <xf numFmtId="169" fontId="14" fillId="28" borderId="15" xfId="19" applyNumberFormat="1" applyBorder="1" applyAlignment="1">
      <alignment horizontal="center" vertical="center"/>
    </xf>
    <xf numFmtId="169" fontId="14" fillId="28" borderId="9" xfId="19" applyNumberFormat="1" applyBorder="1" applyAlignment="1">
      <alignment horizontal="center" vertical="center"/>
    </xf>
    <xf numFmtId="169" fontId="14" fillId="28" borderId="10" xfId="19" applyNumberFormat="1" applyBorder="1" applyAlignment="1">
      <alignment horizontal="center" vertical="center"/>
    </xf>
    <xf numFmtId="0" fontId="0" fillId="32" borderId="15" xfId="0" applyBorder="1" applyAlignment="1">
      <alignment horizontal="center" vertical="center"/>
    </xf>
    <xf numFmtId="0" fontId="0" fillId="32" borderId="9" xfId="0" applyBorder="1" applyAlignment="1">
      <alignment horizontal="center" vertical="center"/>
    </xf>
    <xf numFmtId="0" fontId="0" fillId="32" borderId="10" xfId="0" applyBorder="1" applyAlignment="1">
      <alignment horizontal="center" vertical="center"/>
    </xf>
    <xf numFmtId="0" fontId="14" fillId="28" borderId="10" xfId="19" applyNumberFormat="1" applyBorder="1" applyAlignment="1">
      <alignment horizontal="center" vertical="center"/>
    </xf>
    <xf numFmtId="0" fontId="14" fillId="28" borderId="15" xfId="19" applyNumberFormat="1" applyBorder="1" applyAlignment="1">
      <alignment horizontal="center" vertical="center"/>
    </xf>
    <xf numFmtId="0" fontId="14" fillId="28" borderId="9" xfId="19" applyNumberFormat="1" applyBorder="1" applyAlignment="1">
      <alignment horizontal="center" vertical="center"/>
    </xf>
  </cellXfs>
  <cellStyles count="47">
    <cellStyle name="20% - Accent1" xfId="24" builtinId="30" customBuiltin="1"/>
    <cellStyle name="20% - Accent2" xfId="28" builtinId="34" customBuiltin="1"/>
    <cellStyle name="20% - Accent3" xfId="32" builtinId="38" customBuiltin="1"/>
    <cellStyle name="20% - Accent4" xfId="36" builtinId="42" customBuiltin="1"/>
    <cellStyle name="20% - Accent5" xfId="40" builtinId="46" customBuiltin="1"/>
    <cellStyle name="20% - Accent6" xfId="44" builtinId="50" customBuiltin="1"/>
    <cellStyle name="40% - Accent1" xfId="25" builtinId="31" customBuiltin="1"/>
    <cellStyle name="40% - Accent2" xfId="29" builtinId="35" customBuiltin="1"/>
    <cellStyle name="40% - Accent3" xfId="33" builtinId="39" customBuiltin="1"/>
    <cellStyle name="40% - Accent4" xfId="37" builtinId="43" customBuiltin="1"/>
    <cellStyle name="40% - Accent5" xfId="41" builtinId="47" customBuiltin="1"/>
    <cellStyle name="40% - Accent6" xfId="45" builtinId="51" customBuiltin="1"/>
    <cellStyle name="60% - Accent1" xfId="26" builtinId="32" customBuiltin="1"/>
    <cellStyle name="60% - Accent2" xfId="30" builtinId="36" customBuiltin="1"/>
    <cellStyle name="60% - Accent3" xfId="34" builtinId="40" customBuiltin="1"/>
    <cellStyle name="60% - Accent4" xfId="38" builtinId="44" customBuiltin="1"/>
    <cellStyle name="60% - Accent5" xfId="42" builtinId="48" customBuiltin="1"/>
    <cellStyle name="60% - Accent6" xfId="46" builtinId="52" customBuiltin="1"/>
    <cellStyle name="Accent1" xfId="23" builtinId="29" customBuiltin="1"/>
    <cellStyle name="Accent2" xfId="27" builtinId="33" customBuiltin="1"/>
    <cellStyle name="Accent3" xfId="31" builtinId="37" customBuiltin="1"/>
    <cellStyle name="Accent4" xfId="35" builtinId="41" customBuiltin="1"/>
    <cellStyle name="Accent5" xfId="39" builtinId="45" customBuiltin="1"/>
    <cellStyle name="Accent6" xfId="43" builtinId="49" customBuiltin="1"/>
    <cellStyle name="Bad" xfId="12" builtinId="27" customBuiltin="1"/>
    <cellStyle name="Calculation" xfId="16" builtinId="22" customBuiltin="1"/>
    <cellStyle name="Check Cell" xfId="18" builtinId="23" customBuiltin="1"/>
    <cellStyle name="Comma" xfId="1" builtinId="3" customBuiltin="1"/>
    <cellStyle name="Comma [0]" xfId="2" builtinId="6" customBuiltin="1"/>
    <cellStyle name="Currency" xfId="3" builtinId="4" customBuiltin="1"/>
    <cellStyle name="Currency [0]" xfId="4" builtinId="7" customBuiltin="1"/>
    <cellStyle name="Explanatory Text" xfId="21" builtinId="53" customBuiltin="1"/>
    <cellStyle name="Good" xfId="11" builtinId="26" customBuiltin="1"/>
    <cellStyle name="Heading 1" xfId="7" builtinId="16" customBuiltin="1"/>
    <cellStyle name="Heading 2" xfId="8" builtinId="17" customBuiltin="1"/>
    <cellStyle name="Heading 3" xfId="9" builtinId="18" customBuiltin="1"/>
    <cellStyle name="Heading 4" xfId="10" builtinId="19" customBuiltin="1"/>
    <cellStyle name="Input" xfId="14" builtinId="20" customBuiltin="1"/>
    <cellStyle name="Linked Cell" xfId="17" builtinId="24" customBuiltin="1"/>
    <cellStyle name="Neutral" xfId="13" builtinId="28" customBuiltin="1"/>
    <cellStyle name="Normal" xfId="0" builtinId="0" customBuiltin="1"/>
    <cellStyle name="Note" xfId="20" builtinId="10" customBuiltin="1"/>
    <cellStyle name="Output" xfId="15" builtinId="21" customBuiltin="1"/>
    <cellStyle name="Percent" xfId="5" builtinId="5" customBuiltin="1"/>
    <cellStyle name="Title" xfId="6" builtinId="15" customBuiltin="1"/>
    <cellStyle name="Total" xfId="22" builtinId="25" customBuiltin="1"/>
    <cellStyle name="Warning Text" xfId="19" builtinId="11" customBuiltin="1"/>
  </cellStyles>
  <dxfs count="1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JetBrains Mono">
      <a:majorFont>
        <a:latin typeface="JetBrains Mono Light"/>
        <a:ea typeface=""/>
        <a:cs typeface=""/>
      </a:majorFont>
      <a:minorFont>
        <a:latin typeface="JetBrains Mono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7B3E8-F94D-456D-B9B2-D19A0B7F6379}">
  <sheetPr codeName="Sheet2"/>
  <dimension ref="A1:I54"/>
  <sheetViews>
    <sheetView zoomScaleNormal="100" workbookViewId="0">
      <selection activeCell="A3" sqref="A3:I3"/>
    </sheetView>
  </sheetViews>
  <sheetFormatPr defaultColWidth="8.88671875" defaultRowHeight="16.5"/>
  <cols>
    <col min="1" max="1" width="10.5546875" style="36" customWidth="1"/>
    <col min="2" max="16384" width="8.88671875" style="36"/>
  </cols>
  <sheetData>
    <row r="1" spans="1:9" s="11" customFormat="1" ht="30" customHeight="1">
      <c r="A1" s="84" t="s">
        <v>0</v>
      </c>
      <c r="B1" s="84" t="s">
        <v>24</v>
      </c>
      <c r="C1" s="84"/>
      <c r="D1" s="84"/>
      <c r="E1" s="84" t="s">
        <v>25</v>
      </c>
      <c r="F1" s="84"/>
      <c r="G1" s="84"/>
      <c r="H1" s="84" t="s">
        <v>26</v>
      </c>
      <c r="I1" s="84"/>
    </row>
    <row r="2" spans="1:9" s="11" customFormat="1" ht="30" customHeight="1">
      <c r="A2" s="84"/>
      <c r="B2" s="11" t="s">
        <v>27</v>
      </c>
      <c r="C2" s="11" t="s">
        <v>28</v>
      </c>
      <c r="D2" s="11" t="s">
        <v>29</v>
      </c>
      <c r="E2" s="11" t="s">
        <v>27</v>
      </c>
      <c r="F2" s="11" t="s">
        <v>28</v>
      </c>
      <c r="G2" s="11" t="s">
        <v>29</v>
      </c>
      <c r="H2" s="11" t="s">
        <v>30</v>
      </c>
      <c r="I2" s="11" t="s">
        <v>31</v>
      </c>
    </row>
    <row r="3" spans="1:9" s="12" customFormat="1" ht="18.75">
      <c r="A3" s="14">
        <v>22</v>
      </c>
      <c r="B3" s="37">
        <v>1461.31</v>
      </c>
      <c r="C3" s="37">
        <v>2370.5700000000002</v>
      </c>
      <c r="D3" s="37">
        <v>132.24</v>
      </c>
      <c r="E3" s="37">
        <v>1336.48</v>
      </c>
      <c r="F3" s="37">
        <v>2587.0500000000002</v>
      </c>
      <c r="G3" s="37">
        <v>131.59</v>
      </c>
      <c r="H3" s="37" t="s">
        <v>32</v>
      </c>
      <c r="I3" s="37" t="s">
        <v>33</v>
      </c>
    </row>
    <row r="4" spans="1:9" s="15" customFormat="1" ht="18.75">
      <c r="A4" s="15" t="s">
        <v>36</v>
      </c>
      <c r="B4" s="15" t="s">
        <v>36</v>
      </c>
      <c r="C4" s="15" t="s">
        <v>36</v>
      </c>
      <c r="D4" s="15" t="s">
        <v>36</v>
      </c>
      <c r="E4" s="15" t="s">
        <v>36</v>
      </c>
      <c r="F4" s="15" t="s">
        <v>36</v>
      </c>
      <c r="G4" s="15" t="s">
        <v>36</v>
      </c>
      <c r="H4" s="15" t="s">
        <v>36</v>
      </c>
      <c r="I4" s="15" t="s">
        <v>36</v>
      </c>
    </row>
    <row r="5" spans="1:9" s="3" customFormat="1">
      <c r="A5" s="83">
        <v>1</v>
      </c>
      <c r="B5" s="3">
        <v>1380.19</v>
      </c>
      <c r="C5" s="3">
        <v>2369.8200000000002</v>
      </c>
      <c r="D5" s="3">
        <v>106.14</v>
      </c>
      <c r="E5" s="3">
        <v>1342.74</v>
      </c>
      <c r="F5" s="3">
        <v>2616.89</v>
      </c>
      <c r="G5" s="3">
        <v>105.5</v>
      </c>
      <c r="H5" s="3" t="s">
        <v>243</v>
      </c>
      <c r="I5" s="3" t="s">
        <v>244</v>
      </c>
    </row>
    <row r="6" spans="1:9" s="3" customFormat="1">
      <c r="A6" s="83">
        <v>2</v>
      </c>
      <c r="B6" s="3">
        <v>1384.66</v>
      </c>
      <c r="C6" s="3">
        <v>2366.65</v>
      </c>
      <c r="D6" s="3">
        <v>106.86</v>
      </c>
      <c r="E6" s="3">
        <v>1342.83</v>
      </c>
      <c r="F6" s="3">
        <v>2613.02</v>
      </c>
      <c r="G6" s="3">
        <v>106.42</v>
      </c>
      <c r="H6" s="3" t="s">
        <v>245</v>
      </c>
      <c r="I6" s="3" t="s">
        <v>246</v>
      </c>
    </row>
    <row r="7" spans="1:9" s="3" customFormat="1">
      <c r="A7" s="83">
        <v>3</v>
      </c>
      <c r="B7" s="3">
        <v>1389.07</v>
      </c>
      <c r="C7" s="3">
        <v>2363.4299999999998</v>
      </c>
      <c r="D7" s="3">
        <v>107.81</v>
      </c>
      <c r="E7" s="3">
        <v>1342.88</v>
      </c>
      <c r="F7" s="3">
        <v>2609.0100000000002</v>
      </c>
      <c r="G7" s="3">
        <v>107.35</v>
      </c>
      <c r="H7" s="3" t="s">
        <v>247</v>
      </c>
      <c r="I7" s="3" t="s">
        <v>248</v>
      </c>
    </row>
    <row r="8" spans="1:9" s="3" customFormat="1">
      <c r="A8" s="83">
        <v>4</v>
      </c>
      <c r="B8" s="3">
        <v>1393.43</v>
      </c>
      <c r="C8" s="3">
        <v>2360.16</v>
      </c>
      <c r="D8" s="3">
        <v>108.83</v>
      </c>
      <c r="E8" s="3">
        <v>1342.88</v>
      </c>
      <c r="F8" s="3">
        <v>2604.89</v>
      </c>
      <c r="G8" s="3">
        <v>108.2</v>
      </c>
      <c r="H8" s="3" t="s">
        <v>249</v>
      </c>
      <c r="I8" s="3" t="s">
        <v>250</v>
      </c>
    </row>
    <row r="9" spans="1:9">
      <c r="A9" s="83">
        <v>5</v>
      </c>
      <c r="B9" s="36">
        <v>1397.73</v>
      </c>
      <c r="C9" s="36">
        <v>2356.85</v>
      </c>
      <c r="D9" s="36">
        <v>109.74</v>
      </c>
      <c r="E9" s="36">
        <v>1342.85</v>
      </c>
      <c r="F9" s="36">
        <v>2600.65</v>
      </c>
      <c r="G9" s="36">
        <v>109.13</v>
      </c>
      <c r="H9" s="36" t="s">
        <v>251</v>
      </c>
      <c r="I9" s="36" t="s">
        <v>252</v>
      </c>
    </row>
    <row r="10" spans="1:9">
      <c r="A10" s="83">
        <v>6</v>
      </c>
      <c r="B10" s="36">
        <v>1401.98</v>
      </c>
      <c r="C10" s="36">
        <v>2354.31</v>
      </c>
      <c r="D10" s="36">
        <v>111.29</v>
      </c>
      <c r="E10" s="36">
        <v>1342.79</v>
      </c>
      <c r="F10" s="36">
        <v>2597.09</v>
      </c>
      <c r="G10" s="36">
        <v>110.67</v>
      </c>
      <c r="H10" s="36" t="s">
        <v>253</v>
      </c>
      <c r="I10" s="36" t="s">
        <v>254</v>
      </c>
    </row>
    <row r="11" spans="1:9">
      <c r="A11" s="83">
        <v>7</v>
      </c>
      <c r="B11" s="36">
        <v>1406.17</v>
      </c>
      <c r="C11" s="36">
        <v>2355.66</v>
      </c>
      <c r="D11" s="36">
        <v>111.27</v>
      </c>
      <c r="E11" s="36">
        <v>1342.68</v>
      </c>
      <c r="F11" s="36">
        <v>2597.35</v>
      </c>
      <c r="G11" s="36">
        <v>110.82</v>
      </c>
      <c r="H11" s="36" t="s">
        <v>255</v>
      </c>
      <c r="I11" s="36" t="s">
        <v>256</v>
      </c>
    </row>
    <row r="12" spans="1:9">
      <c r="A12" s="83">
        <v>8</v>
      </c>
      <c r="B12" s="36">
        <v>1410.3</v>
      </c>
      <c r="C12" s="36">
        <v>2356.9699999999998</v>
      </c>
      <c r="D12" s="36">
        <v>111.8</v>
      </c>
      <c r="E12" s="36">
        <v>1342.53</v>
      </c>
      <c r="F12" s="36">
        <v>2597.4899999999998</v>
      </c>
      <c r="G12" s="36">
        <v>111.33</v>
      </c>
      <c r="H12" s="36" t="s">
        <v>257</v>
      </c>
      <c r="I12" s="36" t="s">
        <v>258</v>
      </c>
    </row>
    <row r="13" spans="1:9">
      <c r="A13" s="83">
        <v>9</v>
      </c>
      <c r="B13" s="36">
        <v>1414.38</v>
      </c>
      <c r="C13" s="36">
        <v>2358.23</v>
      </c>
      <c r="D13" s="36">
        <v>112.64</v>
      </c>
      <c r="E13" s="36">
        <v>1342.35</v>
      </c>
      <c r="F13" s="36">
        <v>2597.52</v>
      </c>
      <c r="G13" s="36">
        <v>112.21</v>
      </c>
      <c r="H13" s="36" t="s">
        <v>259</v>
      </c>
      <c r="I13" s="36" t="s">
        <v>260</v>
      </c>
    </row>
    <row r="14" spans="1:9">
      <c r="A14" s="83">
        <v>10</v>
      </c>
      <c r="B14" s="36">
        <v>1418.39</v>
      </c>
      <c r="C14" s="36">
        <v>2359.4499999999998</v>
      </c>
      <c r="D14" s="36">
        <v>114.09</v>
      </c>
      <c r="E14" s="36">
        <v>1342.13</v>
      </c>
      <c r="F14" s="36">
        <v>2597.42</v>
      </c>
      <c r="G14" s="36">
        <v>113.44</v>
      </c>
      <c r="H14" s="36" t="s">
        <v>261</v>
      </c>
      <c r="I14" s="36" t="s">
        <v>262</v>
      </c>
    </row>
    <row r="15" spans="1:9">
      <c r="A15" s="83">
        <v>11</v>
      </c>
      <c r="B15" s="36">
        <v>1422.34</v>
      </c>
      <c r="C15" s="36">
        <v>2360.63</v>
      </c>
      <c r="D15" s="36">
        <v>115.3</v>
      </c>
      <c r="E15" s="36">
        <v>1341.86</v>
      </c>
      <c r="F15" s="36">
        <v>2597.21</v>
      </c>
      <c r="G15" s="36">
        <v>114.66</v>
      </c>
      <c r="H15" s="36" t="s">
        <v>263</v>
      </c>
      <c r="I15" s="36" t="s">
        <v>264</v>
      </c>
    </row>
    <row r="16" spans="1:9">
      <c r="A16" s="83">
        <v>12</v>
      </c>
      <c r="B16" s="36">
        <v>1426.22</v>
      </c>
      <c r="C16" s="36">
        <v>2361.7600000000002</v>
      </c>
      <c r="D16" s="36">
        <v>115.62</v>
      </c>
      <c r="E16" s="36">
        <v>1341.57</v>
      </c>
      <c r="F16" s="36">
        <v>2596.87</v>
      </c>
      <c r="G16" s="36">
        <v>115.18</v>
      </c>
      <c r="H16" s="36" t="s">
        <v>265</v>
      </c>
      <c r="I16" s="36" t="s">
        <v>266</v>
      </c>
    </row>
    <row r="17" spans="1:9">
      <c r="A17" s="83">
        <v>13</v>
      </c>
      <c r="B17" s="36">
        <v>1430.04</v>
      </c>
      <c r="C17" s="36">
        <v>2362.84</v>
      </c>
      <c r="D17" s="36">
        <v>116.72</v>
      </c>
      <c r="E17" s="36">
        <v>1341.23</v>
      </c>
      <c r="F17" s="36">
        <v>2596.42</v>
      </c>
      <c r="G17" s="36">
        <v>116.27</v>
      </c>
      <c r="H17" s="36" t="s">
        <v>267</v>
      </c>
      <c r="I17" s="36" t="s">
        <v>268</v>
      </c>
    </row>
    <row r="18" spans="1:9">
      <c r="A18" s="83">
        <v>14</v>
      </c>
      <c r="B18" s="36">
        <v>1433.8</v>
      </c>
      <c r="C18" s="36">
        <v>2363.89</v>
      </c>
      <c r="D18" s="36">
        <v>117.98</v>
      </c>
      <c r="E18" s="36">
        <v>1340.85</v>
      </c>
      <c r="F18" s="36">
        <v>2595.85</v>
      </c>
      <c r="G18" s="36">
        <v>117.36</v>
      </c>
      <c r="H18" s="36" t="s">
        <v>269</v>
      </c>
      <c r="I18" s="36" t="s">
        <v>270</v>
      </c>
    </row>
    <row r="19" spans="1:9">
      <c r="A19" s="83">
        <v>15</v>
      </c>
      <c r="B19" s="36">
        <v>1437.48</v>
      </c>
      <c r="C19" s="36">
        <v>2364.88</v>
      </c>
      <c r="D19" s="36">
        <v>119.34</v>
      </c>
      <c r="E19" s="36">
        <v>1340.44</v>
      </c>
      <c r="F19" s="36">
        <v>2595.16</v>
      </c>
      <c r="G19" s="36">
        <v>118.73</v>
      </c>
      <c r="H19" s="36" t="s">
        <v>271</v>
      </c>
      <c r="I19" s="36" t="s">
        <v>272</v>
      </c>
    </row>
    <row r="20" spans="1:9">
      <c r="A20" s="83">
        <v>16</v>
      </c>
      <c r="B20" s="36">
        <v>1441.1</v>
      </c>
      <c r="C20" s="36">
        <v>2365.83</v>
      </c>
      <c r="D20" s="36">
        <v>120.08</v>
      </c>
      <c r="E20" s="36">
        <v>1339.98</v>
      </c>
      <c r="F20" s="36">
        <v>2594.35</v>
      </c>
      <c r="G20" s="36">
        <v>119.61</v>
      </c>
      <c r="H20" s="36" t="s">
        <v>273</v>
      </c>
      <c r="I20" s="36" t="s">
        <v>274</v>
      </c>
    </row>
    <row r="21" spans="1:9">
      <c r="A21" s="83">
        <v>17</v>
      </c>
      <c r="B21" s="36">
        <v>1444.65</v>
      </c>
      <c r="C21" s="36">
        <v>2366.7399999999998</v>
      </c>
      <c r="D21" s="36">
        <v>121.07</v>
      </c>
      <c r="E21" s="36">
        <v>1339.49</v>
      </c>
      <c r="F21" s="36">
        <v>2593.4299999999998</v>
      </c>
      <c r="G21" s="36">
        <v>120.44</v>
      </c>
      <c r="H21" s="36" t="s">
        <v>275</v>
      </c>
      <c r="I21" s="36" t="s">
        <v>276</v>
      </c>
    </row>
    <row r="22" spans="1:9">
      <c r="A22" s="83">
        <v>18</v>
      </c>
      <c r="B22" s="36">
        <v>1448.13</v>
      </c>
      <c r="C22" s="36">
        <v>2367.6</v>
      </c>
      <c r="D22" s="36">
        <v>122.01</v>
      </c>
      <c r="E22" s="36">
        <v>1338.97</v>
      </c>
      <c r="F22" s="36">
        <v>2592.39</v>
      </c>
      <c r="G22" s="36">
        <v>121.55</v>
      </c>
      <c r="H22" s="36" t="s">
        <v>277</v>
      </c>
      <c r="I22" s="36" t="s">
        <v>278</v>
      </c>
    </row>
    <row r="23" spans="1:9">
      <c r="A23" s="83">
        <v>19</v>
      </c>
      <c r="B23" s="36">
        <v>1451.54</v>
      </c>
      <c r="C23" s="36">
        <v>2368.41</v>
      </c>
      <c r="D23" s="36">
        <v>122.99</v>
      </c>
      <c r="E23" s="36">
        <v>1338.4</v>
      </c>
      <c r="F23" s="36">
        <v>2591.23</v>
      </c>
      <c r="G23" s="36">
        <v>122.34</v>
      </c>
      <c r="H23" s="36" t="s">
        <v>279</v>
      </c>
      <c r="I23" s="36" t="s">
        <v>280</v>
      </c>
    </row>
    <row r="24" spans="1:9">
      <c r="A24" s="83">
        <v>20</v>
      </c>
      <c r="B24" s="36">
        <v>1454.87</v>
      </c>
      <c r="C24" s="36">
        <v>2369.1799999999998</v>
      </c>
      <c r="D24" s="36">
        <v>124.02</v>
      </c>
      <c r="E24" s="36">
        <v>1337.8</v>
      </c>
      <c r="F24" s="36">
        <v>2589.9499999999998</v>
      </c>
      <c r="G24" s="36">
        <v>123.58</v>
      </c>
      <c r="H24" s="36" t="s">
        <v>281</v>
      </c>
      <c r="I24" s="36" t="s">
        <v>282</v>
      </c>
    </row>
    <row r="25" spans="1:9">
      <c r="A25" s="83">
        <v>21</v>
      </c>
      <c r="B25" s="36">
        <v>1458.13</v>
      </c>
      <c r="C25" s="36">
        <v>2369.9</v>
      </c>
      <c r="D25" s="36">
        <v>125.14</v>
      </c>
      <c r="E25" s="36">
        <v>1337.16</v>
      </c>
      <c r="F25" s="36">
        <v>2588.56</v>
      </c>
      <c r="G25" s="36">
        <v>124.71</v>
      </c>
      <c r="H25" s="36" t="s">
        <v>283</v>
      </c>
      <c r="I25" s="36" t="s">
        <v>284</v>
      </c>
    </row>
    <row r="26" spans="1:9">
      <c r="A26" s="83">
        <v>22</v>
      </c>
      <c r="B26" s="36">
        <v>1461.31</v>
      </c>
      <c r="C26" s="36">
        <v>2370.5700000000002</v>
      </c>
      <c r="D26" s="36">
        <v>132.24</v>
      </c>
      <c r="E26" s="36">
        <v>1336.48</v>
      </c>
      <c r="F26" s="36">
        <v>2587.0500000000002</v>
      </c>
      <c r="G26" s="36">
        <v>131.59</v>
      </c>
      <c r="H26" s="36" t="s">
        <v>32</v>
      </c>
      <c r="I26" s="36" t="s">
        <v>33</v>
      </c>
    </row>
    <row r="27" spans="1:9">
      <c r="A27" s="83">
        <v>23</v>
      </c>
      <c r="B27" s="36">
        <v>1464.42</v>
      </c>
      <c r="C27" s="36">
        <v>2371.19</v>
      </c>
      <c r="D27" s="36">
        <v>129.02000000000001</v>
      </c>
      <c r="E27" s="36">
        <v>1335.77</v>
      </c>
      <c r="F27" s="36">
        <v>2585.42</v>
      </c>
      <c r="G27" s="36">
        <v>128.41</v>
      </c>
      <c r="H27" s="36" t="s">
        <v>114</v>
      </c>
      <c r="I27" s="36" t="s">
        <v>115</v>
      </c>
    </row>
    <row r="28" spans="1:9">
      <c r="A28" s="83">
        <v>24</v>
      </c>
      <c r="B28" s="36">
        <v>1467.45</v>
      </c>
      <c r="C28" s="36">
        <v>2371.77</v>
      </c>
      <c r="D28" s="36">
        <v>137.13999999999999</v>
      </c>
      <c r="E28" s="36">
        <v>1335.02</v>
      </c>
      <c r="F28" s="36">
        <v>2583.6799999999998</v>
      </c>
      <c r="G28" s="36">
        <v>136.69999999999999</v>
      </c>
      <c r="H28" s="36" t="s">
        <v>285</v>
      </c>
      <c r="I28" s="36" t="s">
        <v>286</v>
      </c>
    </row>
    <row r="29" spans="1:9">
      <c r="A29" s="83">
        <v>25</v>
      </c>
      <c r="B29" s="36">
        <v>1470.41</v>
      </c>
      <c r="C29" s="36">
        <v>2372.3000000000002</v>
      </c>
      <c r="D29" s="36">
        <v>129.93</v>
      </c>
      <c r="E29" s="36">
        <v>1334.24</v>
      </c>
      <c r="F29" s="36">
        <v>2581.83</v>
      </c>
      <c r="G29" s="36">
        <v>129.31</v>
      </c>
      <c r="H29" s="36" t="s">
        <v>287</v>
      </c>
      <c r="I29" s="36" t="s">
        <v>288</v>
      </c>
    </row>
    <row r="30" spans="1:9">
      <c r="A30" s="83">
        <v>26</v>
      </c>
      <c r="B30" s="36">
        <v>1473.28</v>
      </c>
      <c r="C30" s="36">
        <v>2372.7800000000002</v>
      </c>
      <c r="D30" s="36">
        <v>128.30000000000001</v>
      </c>
      <c r="E30" s="36">
        <v>1333.42</v>
      </c>
      <c r="F30" s="36">
        <v>2579.86</v>
      </c>
      <c r="G30" s="36">
        <v>127.65</v>
      </c>
      <c r="H30" s="36" t="s">
        <v>289</v>
      </c>
      <c r="I30" s="36" t="s">
        <v>290</v>
      </c>
    </row>
    <row r="31" spans="1:9">
      <c r="A31" s="83">
        <v>27</v>
      </c>
      <c r="B31" s="36">
        <v>1476.08</v>
      </c>
      <c r="C31" s="36">
        <v>2373.21</v>
      </c>
      <c r="D31" s="36">
        <v>125.98</v>
      </c>
      <c r="E31" s="36">
        <v>1332.56</v>
      </c>
      <c r="F31" s="36">
        <v>2577.7800000000002</v>
      </c>
      <c r="G31" s="36">
        <v>125.53</v>
      </c>
      <c r="H31" s="36" t="s">
        <v>291</v>
      </c>
      <c r="I31" s="36" t="s">
        <v>292</v>
      </c>
    </row>
    <row r="32" spans="1:9">
      <c r="A32" s="83">
        <v>28</v>
      </c>
      <c r="B32" s="36">
        <v>1478.79</v>
      </c>
      <c r="C32" s="36">
        <v>2373.59</v>
      </c>
      <c r="D32" s="36">
        <v>126.99</v>
      </c>
      <c r="E32" s="36">
        <v>1331.67</v>
      </c>
      <c r="F32" s="36">
        <v>2575.58</v>
      </c>
      <c r="G32" s="36">
        <v>126.37</v>
      </c>
      <c r="H32" s="36" t="s">
        <v>293</v>
      </c>
      <c r="I32" s="36" t="s">
        <v>294</v>
      </c>
    </row>
    <row r="33" spans="1:9">
      <c r="A33" s="83">
        <v>29</v>
      </c>
      <c r="B33" s="36">
        <v>1481.42</v>
      </c>
      <c r="C33" s="36">
        <v>2373.9299999999998</v>
      </c>
      <c r="D33" s="36">
        <v>133.27000000000001</v>
      </c>
      <c r="E33" s="36">
        <v>1330.74</v>
      </c>
      <c r="F33" s="36">
        <v>2573.2800000000002</v>
      </c>
      <c r="G33" s="36">
        <v>132.66</v>
      </c>
      <c r="H33" s="36" t="s">
        <v>295</v>
      </c>
      <c r="I33" s="36" t="s">
        <v>296</v>
      </c>
    </row>
    <row r="34" spans="1:9">
      <c r="A34" s="83">
        <v>30</v>
      </c>
      <c r="B34" s="36">
        <v>1483.98</v>
      </c>
      <c r="C34" s="36">
        <v>2374.2199999999998</v>
      </c>
      <c r="D34" s="36">
        <v>139.19</v>
      </c>
      <c r="E34" s="36">
        <v>1329.77</v>
      </c>
      <c r="F34" s="36">
        <v>2570.86</v>
      </c>
      <c r="G34" s="36">
        <v>138.72</v>
      </c>
      <c r="H34" s="36" t="s">
        <v>34</v>
      </c>
      <c r="I34" s="36" t="s">
        <v>35</v>
      </c>
    </row>
    <row r="35" spans="1:9">
      <c r="A35" s="83">
        <v>31</v>
      </c>
      <c r="B35" s="36">
        <v>1486.44</v>
      </c>
      <c r="C35" s="36">
        <v>2374.46</v>
      </c>
      <c r="D35" s="36">
        <v>139.78</v>
      </c>
      <c r="E35" s="36">
        <v>1328.78</v>
      </c>
      <c r="F35" s="36">
        <v>2568.33</v>
      </c>
      <c r="G35" s="36">
        <v>139.15</v>
      </c>
      <c r="H35" s="36" t="s">
        <v>297</v>
      </c>
      <c r="I35" s="36" t="s">
        <v>298</v>
      </c>
    </row>
    <row r="36" spans="1:9">
      <c r="A36" s="83">
        <v>32</v>
      </c>
      <c r="B36" s="36">
        <v>1488.83</v>
      </c>
      <c r="C36" s="36">
        <v>2374.65</v>
      </c>
      <c r="D36" s="36">
        <v>133.83000000000001</v>
      </c>
      <c r="E36" s="36">
        <v>1327.75</v>
      </c>
      <c r="F36" s="36">
        <v>2565.69</v>
      </c>
      <c r="G36" s="36">
        <v>133.19</v>
      </c>
      <c r="H36" s="36" t="s">
        <v>299</v>
      </c>
      <c r="I36" s="36" t="s">
        <v>300</v>
      </c>
    </row>
    <row r="37" spans="1:9">
      <c r="A37" s="83">
        <v>33</v>
      </c>
      <c r="B37" s="36">
        <v>1491.13</v>
      </c>
      <c r="C37" s="36">
        <v>2374.79</v>
      </c>
      <c r="D37" s="36">
        <v>137.75</v>
      </c>
      <c r="E37" s="36">
        <v>1326.68</v>
      </c>
      <c r="F37" s="36">
        <v>2562.9499999999998</v>
      </c>
      <c r="G37" s="36">
        <v>137.29</v>
      </c>
      <c r="H37" s="36" t="s">
        <v>80</v>
      </c>
      <c r="I37" s="36" t="s">
        <v>81</v>
      </c>
    </row>
    <row r="38" spans="1:9">
      <c r="A38" s="83">
        <v>34</v>
      </c>
      <c r="B38" s="36">
        <v>1493.34</v>
      </c>
      <c r="C38" s="36">
        <v>2374.88</v>
      </c>
      <c r="D38" s="36">
        <v>135.9</v>
      </c>
      <c r="E38" s="36">
        <v>1325.58</v>
      </c>
      <c r="F38" s="36">
        <v>2560.09</v>
      </c>
      <c r="G38" s="36">
        <v>135.43</v>
      </c>
      <c r="H38" s="36" t="s">
        <v>301</v>
      </c>
      <c r="I38" s="36" t="s">
        <v>302</v>
      </c>
    </row>
    <row r="39" spans="1:9">
      <c r="A39" s="83">
        <v>35</v>
      </c>
      <c r="B39" s="36">
        <v>1495.47</v>
      </c>
      <c r="C39" s="36">
        <v>2374.9299999999998</v>
      </c>
      <c r="D39" s="36">
        <v>133.91999999999999</v>
      </c>
      <c r="E39" s="36">
        <v>1324.45</v>
      </c>
      <c r="F39" s="36">
        <v>2557.13</v>
      </c>
      <c r="G39" s="36">
        <v>133.27000000000001</v>
      </c>
      <c r="H39" s="36" t="s">
        <v>303</v>
      </c>
      <c r="I39" s="36" t="s">
        <v>304</v>
      </c>
    </row>
    <row r="40" spans="1:9">
      <c r="A40" s="83">
        <v>36</v>
      </c>
      <c r="B40" s="36">
        <v>1497.51</v>
      </c>
      <c r="C40" s="36">
        <v>2374.92</v>
      </c>
      <c r="D40" s="36">
        <v>116.44</v>
      </c>
      <c r="E40" s="36">
        <v>1323.28</v>
      </c>
      <c r="F40" s="36">
        <v>2554.06</v>
      </c>
      <c r="G40" s="36">
        <v>115.8</v>
      </c>
      <c r="H40" s="36" t="s">
        <v>305</v>
      </c>
      <c r="I40" s="36" t="s">
        <v>306</v>
      </c>
    </row>
    <row r="41" spans="1:9">
      <c r="A41" s="83">
        <v>37</v>
      </c>
      <c r="B41" s="36">
        <v>1499.46</v>
      </c>
      <c r="C41" s="36">
        <v>2374.87</v>
      </c>
      <c r="D41" s="36">
        <v>147.51</v>
      </c>
      <c r="E41" s="36">
        <v>1322.09</v>
      </c>
      <c r="F41" s="36">
        <v>2550.89</v>
      </c>
      <c r="G41" s="36">
        <v>147.05000000000001</v>
      </c>
      <c r="H41" s="36" t="s">
        <v>307</v>
      </c>
      <c r="I41" s="36" t="s">
        <v>308</v>
      </c>
    </row>
    <row r="42" spans="1:9">
      <c r="A42" s="83">
        <v>38</v>
      </c>
      <c r="B42" s="36">
        <v>1501.33</v>
      </c>
      <c r="C42" s="36">
        <v>2374.77</v>
      </c>
      <c r="D42" s="36">
        <v>151.79</v>
      </c>
      <c r="E42" s="36">
        <v>1320.86</v>
      </c>
      <c r="F42" s="36">
        <v>2547.61</v>
      </c>
      <c r="G42" s="36">
        <v>151.16999999999999</v>
      </c>
      <c r="H42" s="36" t="s">
        <v>309</v>
      </c>
      <c r="I42" s="36" t="s">
        <v>310</v>
      </c>
    </row>
    <row r="43" spans="1:9">
      <c r="A43" s="83">
        <v>39</v>
      </c>
      <c r="B43" s="36">
        <v>1503.1</v>
      </c>
      <c r="C43" s="36">
        <v>2374.62</v>
      </c>
      <c r="D43" s="36">
        <v>154.6</v>
      </c>
      <c r="E43" s="36">
        <v>1319.59</v>
      </c>
      <c r="F43" s="36">
        <v>2544.23</v>
      </c>
      <c r="G43" s="36">
        <v>153.94999999999999</v>
      </c>
      <c r="H43" s="36" t="s">
        <v>311</v>
      </c>
      <c r="I43" s="36" t="s">
        <v>312</v>
      </c>
    </row>
    <row r="44" spans="1:9">
      <c r="A44" s="83">
        <v>40</v>
      </c>
      <c r="B44" s="36">
        <v>1504.79</v>
      </c>
      <c r="C44" s="36">
        <v>2374.42</v>
      </c>
      <c r="D44" s="36">
        <v>156.53</v>
      </c>
      <c r="E44" s="36">
        <v>1318.3</v>
      </c>
      <c r="F44" s="36">
        <v>2540.75</v>
      </c>
      <c r="G44" s="36">
        <v>156.08000000000001</v>
      </c>
      <c r="H44" s="36" t="s">
        <v>313</v>
      </c>
      <c r="I44" s="36" t="s">
        <v>314</v>
      </c>
    </row>
    <row r="45" spans="1:9">
      <c r="A45" s="83">
        <v>41</v>
      </c>
      <c r="B45" s="36">
        <v>1506.39</v>
      </c>
      <c r="C45" s="36">
        <v>2374.17</v>
      </c>
      <c r="D45" s="36">
        <v>157.76</v>
      </c>
      <c r="E45" s="36">
        <v>1316.98</v>
      </c>
      <c r="F45" s="36">
        <v>2537.17</v>
      </c>
      <c r="G45" s="36">
        <v>157.31</v>
      </c>
      <c r="H45" s="36" t="s">
        <v>315</v>
      </c>
      <c r="I45" s="36" t="s">
        <v>316</v>
      </c>
    </row>
    <row r="46" spans="1:9">
      <c r="A46" s="83">
        <v>42</v>
      </c>
      <c r="B46" s="36">
        <v>1507.9</v>
      </c>
      <c r="C46" s="36">
        <v>2373.87</v>
      </c>
      <c r="D46" s="36">
        <v>158.99</v>
      </c>
      <c r="E46" s="36">
        <v>1315.62</v>
      </c>
      <c r="F46" s="36">
        <v>2533.4899999999998</v>
      </c>
      <c r="G46" s="36">
        <v>158.54</v>
      </c>
      <c r="H46" s="36" t="s">
        <v>317</v>
      </c>
      <c r="I46" s="36" t="s">
        <v>318</v>
      </c>
    </row>
    <row r="47" spans="1:9">
      <c r="A47" s="83">
        <v>43</v>
      </c>
      <c r="B47" s="36">
        <v>1509.31</v>
      </c>
      <c r="C47" s="36">
        <v>2373.5300000000002</v>
      </c>
      <c r="D47" s="36">
        <v>160.22</v>
      </c>
      <c r="E47" s="36">
        <v>1314.24</v>
      </c>
      <c r="F47" s="36">
        <v>2529.6999999999998</v>
      </c>
      <c r="G47" s="36">
        <v>159.77000000000001</v>
      </c>
      <c r="H47" s="36" t="s">
        <v>319</v>
      </c>
      <c r="I47" s="36" t="s">
        <v>320</v>
      </c>
    </row>
    <row r="48" spans="1:9">
      <c r="A48" s="83">
        <v>44</v>
      </c>
      <c r="B48" s="36">
        <v>1510.64</v>
      </c>
      <c r="C48" s="36">
        <v>2373.13</v>
      </c>
      <c r="D48" s="36">
        <v>161.44999999999999</v>
      </c>
      <c r="E48" s="36">
        <v>1312.82</v>
      </c>
      <c r="F48" s="36">
        <v>2525.83</v>
      </c>
      <c r="G48" s="36">
        <v>161</v>
      </c>
      <c r="H48" s="36" t="s">
        <v>321</v>
      </c>
      <c r="I48" s="36" t="s">
        <v>322</v>
      </c>
    </row>
    <row r="49" spans="1:9">
      <c r="A49" s="83">
        <v>45</v>
      </c>
      <c r="B49" s="36">
        <v>1511.88</v>
      </c>
      <c r="C49" s="36">
        <v>2372.69</v>
      </c>
      <c r="D49" s="36">
        <v>162.68</v>
      </c>
      <c r="E49" s="36">
        <v>1311.38</v>
      </c>
      <c r="F49" s="36">
        <v>2521.85</v>
      </c>
      <c r="G49" s="36">
        <v>162.22999999999999</v>
      </c>
      <c r="H49" s="36" t="s">
        <v>323</v>
      </c>
      <c r="I49" s="36" t="s">
        <v>324</v>
      </c>
    </row>
    <row r="50" spans="1:9">
      <c r="A50" s="83">
        <v>46</v>
      </c>
      <c r="B50" s="36">
        <v>1513.02</v>
      </c>
      <c r="C50" s="36">
        <v>2372.1999999999998</v>
      </c>
      <c r="D50" s="36">
        <v>163.91</v>
      </c>
      <c r="E50" s="36">
        <v>1309.9100000000001</v>
      </c>
      <c r="F50" s="36">
        <v>2517.7800000000002</v>
      </c>
      <c r="G50" s="36">
        <v>163.46</v>
      </c>
      <c r="H50" s="36" t="s">
        <v>325</v>
      </c>
      <c r="I50" s="36" t="s">
        <v>326</v>
      </c>
    </row>
    <row r="51" spans="1:9">
      <c r="A51" s="83">
        <v>47</v>
      </c>
      <c r="B51" s="36">
        <v>1514.07</v>
      </c>
      <c r="C51" s="36">
        <v>2371.66</v>
      </c>
      <c r="D51" s="36">
        <v>165.14</v>
      </c>
      <c r="E51" s="36">
        <v>1308.4100000000001</v>
      </c>
      <c r="F51" s="36">
        <v>2513.61</v>
      </c>
      <c r="G51" s="36">
        <v>164.69</v>
      </c>
      <c r="H51" s="36" t="s">
        <v>327</v>
      </c>
      <c r="I51" s="36" t="s">
        <v>328</v>
      </c>
    </row>
    <row r="52" spans="1:9">
      <c r="A52" s="83">
        <v>48</v>
      </c>
      <c r="B52" s="36">
        <v>1515.03</v>
      </c>
      <c r="C52" s="36">
        <v>2371.08</v>
      </c>
      <c r="D52" s="36">
        <v>166.37</v>
      </c>
      <c r="E52" s="36">
        <v>1306.8800000000001</v>
      </c>
      <c r="F52" s="36">
        <v>2509.36</v>
      </c>
      <c r="G52" s="36">
        <v>165.92</v>
      </c>
      <c r="H52" s="36" t="s">
        <v>329</v>
      </c>
      <c r="I52" s="36" t="s">
        <v>330</v>
      </c>
    </row>
    <row r="53" spans="1:9">
      <c r="A53" s="83">
        <v>49</v>
      </c>
      <c r="B53" s="36">
        <v>1515.89</v>
      </c>
      <c r="C53" s="36">
        <v>2370.4499999999998</v>
      </c>
      <c r="D53" s="36">
        <v>167.6</v>
      </c>
      <c r="E53" s="36">
        <v>1305.32</v>
      </c>
      <c r="F53" s="36">
        <v>2505.0100000000002</v>
      </c>
      <c r="G53" s="36">
        <v>167.15</v>
      </c>
      <c r="H53" s="36" t="s">
        <v>331</v>
      </c>
      <c r="I53" s="36" t="s">
        <v>332</v>
      </c>
    </row>
    <row r="54" spans="1:9">
      <c r="A54" s="83">
        <v>50</v>
      </c>
      <c r="B54" s="36">
        <v>1516.66</v>
      </c>
      <c r="C54" s="36">
        <v>2369.77</v>
      </c>
      <c r="D54" s="36">
        <v>168.83</v>
      </c>
      <c r="E54" s="36">
        <v>1303.74</v>
      </c>
      <c r="F54" s="36">
        <v>2500.5700000000002</v>
      </c>
      <c r="G54" s="36">
        <v>168.38</v>
      </c>
      <c r="H54" s="36" t="s">
        <v>333</v>
      </c>
      <c r="I54" s="36" t="s">
        <v>334</v>
      </c>
    </row>
  </sheetData>
  <mergeCells count="4">
    <mergeCell ref="A1:A2"/>
    <mergeCell ref="B1:D1"/>
    <mergeCell ref="E1:G1"/>
    <mergeCell ref="H1:I1"/>
  </mergeCells>
  <phoneticPr fontId="1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78AC1-0324-4678-BCD2-CDC256CD328A}">
  <sheetPr codeName="Sheet3">
    <pageSetUpPr fitToPage="1"/>
  </sheetPr>
  <dimension ref="A1:J7"/>
  <sheetViews>
    <sheetView workbookViewId="0">
      <selection activeCell="C3" sqref="C3"/>
    </sheetView>
  </sheetViews>
  <sheetFormatPr defaultColWidth="8.6640625" defaultRowHeight="16.5"/>
  <cols>
    <col min="1" max="1" width="10" style="1" bestFit="1" customWidth="1"/>
    <col min="3" max="3" width="12" bestFit="1" customWidth="1"/>
  </cols>
  <sheetData>
    <row r="1" spans="1:10" ht="18.75">
      <c r="A1" s="85" t="s">
        <v>54</v>
      </c>
      <c r="B1" s="86"/>
      <c r="C1" s="86"/>
      <c r="D1" s="86"/>
      <c r="E1" s="86"/>
      <c r="F1" s="86"/>
      <c r="G1" s="86"/>
      <c r="H1" s="86"/>
      <c r="I1" s="86"/>
      <c r="J1" s="87"/>
    </row>
    <row r="2" spans="1:10" s="1" customFormat="1">
      <c r="B2" s="1" t="s">
        <v>55</v>
      </c>
      <c r="C2" s="16" t="s">
        <v>39</v>
      </c>
    </row>
    <row r="3" spans="1:10">
      <c r="A3" s="1" t="s">
        <v>10</v>
      </c>
      <c r="B3" s="17">
        <v>165.065</v>
      </c>
      <c r="C3" t="str" cm="1">
        <f t="array" ref="C3">DMSfromNum(1+31/60)</f>
        <v xml:space="preserve"> 1° 31 ' 0"</v>
      </c>
    </row>
    <row r="4" spans="1:10">
      <c r="A4" s="1">
        <v>1</v>
      </c>
      <c r="B4" s="17">
        <v>128.61500000000001</v>
      </c>
      <c r="C4" t="str" cm="1">
        <f t="array" ref="C4">DMSfromNum(1+44/60)</f>
        <v xml:space="preserve"> 1° 44 ' 0"</v>
      </c>
    </row>
    <row r="5" spans="1:10">
      <c r="A5" s="1">
        <v>2</v>
      </c>
      <c r="B5" s="17">
        <v>175.79</v>
      </c>
      <c r="C5" t="str" cm="1">
        <f t="array" ref="C5">DMSfromNum(0+20/60)</f>
        <v xml:space="preserve"> 0° 20 ' 0"</v>
      </c>
    </row>
    <row r="6" spans="1:10">
      <c r="A6" s="1">
        <v>3</v>
      </c>
      <c r="B6" s="17">
        <v>220.38</v>
      </c>
      <c r="C6" t="str" cm="1">
        <f t="array" ref="C6">DMSfromNum(0+32/60)</f>
        <v xml:space="preserve"> 0° 32 ' 0"</v>
      </c>
    </row>
    <row r="7" spans="1:10">
      <c r="A7" s="1" t="s">
        <v>11</v>
      </c>
      <c r="B7" s="3" t="s">
        <v>56</v>
      </c>
      <c r="C7" s="3" t="s">
        <v>56</v>
      </c>
    </row>
  </sheetData>
  <mergeCells count="1">
    <mergeCell ref="A1:J1"/>
  </mergeCells>
  <pageMargins left="0.7" right="0.7" top="0.75" bottom="0.75" header="0.3" footer="0.3"/>
  <pageSetup scale="82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0505F-115F-4C69-8B2D-4CE1286DFF8C}">
  <sheetPr codeName="Sheet6"/>
  <dimension ref="A1:M41"/>
  <sheetViews>
    <sheetView tabSelected="1" zoomScaleNormal="100" workbookViewId="0">
      <selection activeCell="C7" sqref="C7"/>
    </sheetView>
  </sheetViews>
  <sheetFormatPr defaultColWidth="8.88671875" defaultRowHeight="16.5"/>
  <cols>
    <col min="1" max="1" width="8.88671875" style="2"/>
    <col min="2" max="2" width="14.109375" style="19" bestFit="1" customWidth="1"/>
    <col min="3" max="3" width="13.109375" style="2" bestFit="1" customWidth="1"/>
    <col min="4" max="4" width="14.109375" style="2" bestFit="1" customWidth="1"/>
    <col min="5" max="5" width="12" style="2" bestFit="1" customWidth="1"/>
    <col min="6" max="6" width="12.6640625" style="18" customWidth="1"/>
    <col min="7" max="7" width="8.5546875" style="2" customWidth="1"/>
    <col min="8" max="8" width="7.6640625" style="2" customWidth="1"/>
    <col min="9" max="16384" width="8.88671875" style="2"/>
  </cols>
  <sheetData>
    <row r="1" spans="1:13" ht="60" customHeight="1">
      <c r="A1" s="88" t="s">
        <v>12</v>
      </c>
      <c r="B1" s="88" t="s">
        <v>38</v>
      </c>
      <c r="C1" s="88" t="s">
        <v>40</v>
      </c>
      <c r="D1" s="88" t="s">
        <v>41</v>
      </c>
      <c r="E1" s="88" t="s">
        <v>42</v>
      </c>
      <c r="F1" s="88" t="s">
        <v>43</v>
      </c>
      <c r="G1" s="91" t="s">
        <v>44</v>
      </c>
      <c r="H1" s="97"/>
      <c r="I1" s="97"/>
      <c r="J1" s="92"/>
      <c r="K1" s="93" t="s">
        <v>51</v>
      </c>
      <c r="L1" s="94"/>
      <c r="M1" s="88" t="s">
        <v>12</v>
      </c>
    </row>
    <row r="2" spans="1:13">
      <c r="A2" s="89"/>
      <c r="B2" s="89"/>
      <c r="C2" s="89"/>
      <c r="D2" s="89"/>
      <c r="E2" s="89"/>
      <c r="F2" s="89"/>
      <c r="G2" s="91" t="s">
        <v>45</v>
      </c>
      <c r="H2" s="92"/>
      <c r="I2" s="91" t="s">
        <v>46</v>
      </c>
      <c r="J2" s="92"/>
      <c r="K2" s="95"/>
      <c r="L2" s="96"/>
      <c r="M2" s="89"/>
    </row>
    <row r="3" spans="1:13" ht="16.5" customHeight="1">
      <c r="A3" s="90"/>
      <c r="B3" s="90"/>
      <c r="C3" s="90"/>
      <c r="D3" s="90"/>
      <c r="E3" s="90"/>
      <c r="F3" s="90"/>
      <c r="G3" s="13" t="s">
        <v>47</v>
      </c>
      <c r="H3" s="2" t="s">
        <v>48</v>
      </c>
      <c r="I3" s="13" t="s">
        <v>47</v>
      </c>
      <c r="J3" s="2" t="s">
        <v>48</v>
      </c>
      <c r="K3" s="2" t="s">
        <v>49</v>
      </c>
      <c r="L3" s="2" t="s">
        <v>50</v>
      </c>
      <c r="M3" s="90"/>
    </row>
    <row r="4" spans="1:13" ht="14.25" customHeight="1">
      <c r="A4" s="2">
        <v>1</v>
      </c>
      <c r="B4" s="3">
        <v>2</v>
      </c>
      <c r="C4" s="2">
        <v>3</v>
      </c>
      <c r="D4" s="2">
        <v>4</v>
      </c>
      <c r="E4" s="2">
        <v>5</v>
      </c>
      <c r="F4" s="2">
        <v>6</v>
      </c>
      <c r="G4" s="2">
        <v>7</v>
      </c>
      <c r="H4" s="2">
        <v>8</v>
      </c>
      <c r="I4" s="2">
        <v>9</v>
      </c>
      <c r="J4" s="2">
        <v>10</v>
      </c>
      <c r="K4" s="2">
        <v>11</v>
      </c>
      <c r="L4" s="2">
        <v>12</v>
      </c>
      <c r="M4" s="2">
        <v>1</v>
      </c>
    </row>
    <row r="5" spans="1:13" s="3" customFormat="1">
      <c r="A5" s="3" t="s">
        <v>52</v>
      </c>
      <c r="C5" s="24"/>
      <c r="F5" s="17"/>
      <c r="M5" s="3" t="s">
        <v>52</v>
      </c>
    </row>
    <row r="6" spans="1:13" s="3" customFormat="1">
      <c r="E6" s="25" t="str">
        <f>Варианты!H3</f>
        <v>22°22'</v>
      </c>
      <c r="F6" s="17"/>
    </row>
    <row r="7" spans="1:13" s="3" customFormat="1">
      <c r="A7" s="3" t="s">
        <v>10</v>
      </c>
      <c r="B7" s="3" t="s">
        <v>57</v>
      </c>
      <c r="C7" s="3" t="s">
        <v>70</v>
      </c>
      <c r="D7" s="3" t="str" cm="1">
        <f t="array" ref="D7">DMSfromNum(DMStoNum(B7)+DMStoNum(C7))</f>
        <v xml:space="preserve"> 201° 57 ' 0"</v>
      </c>
      <c r="F7" s="17"/>
      <c r="G7" s="17">
        <f>-($B$28/SUM($F$8:$F$14))*F8</f>
        <v>-6.2568068526475507E-2</v>
      </c>
      <c r="H7" s="17">
        <f>-($D$28/SUM($F$8:$F$14))*F8</f>
        <v>1.4983698236611115E-2</v>
      </c>
      <c r="K7" s="25">
        <f>Варианты!B3</f>
        <v>1461.31</v>
      </c>
      <c r="L7" s="25">
        <f>Варианты!C3</f>
        <v>2370.5700000000002</v>
      </c>
      <c r="M7" s="3" t="s">
        <v>10</v>
      </c>
    </row>
    <row r="8" spans="1:13" s="3" customFormat="1">
      <c r="E8" s="3" t="str" cm="1">
        <f t="array" ref="E8">DMSfromNum(DMStoNum(E6)+180-DMStoNum(D7))</f>
        <v>0° 25' 0"</v>
      </c>
      <c r="F8" s="17">
        <v>165.01</v>
      </c>
      <c r="G8" s="17" cm="1">
        <f t="array" ref="G8">F8*COS(RADIANS(DMStoNum(E8)))</f>
        <v>165.00563674488558</v>
      </c>
      <c r="H8" s="17" cm="1">
        <f t="array" ref="H8">F8*SIN(RADIANS(DMStoNum(E8)))</f>
        <v>1.1999760059507545</v>
      </c>
      <c r="I8" s="17">
        <f>G8+G7</f>
        <v>164.9430686763591</v>
      </c>
      <c r="J8" s="17">
        <f>H8+H7</f>
        <v>1.2149597041873657</v>
      </c>
    </row>
    <row r="9" spans="1:13" s="3" customFormat="1">
      <c r="A9" s="3">
        <v>1</v>
      </c>
      <c r="B9" s="3" t="s">
        <v>58</v>
      </c>
      <c r="C9" s="3" t="s">
        <v>70</v>
      </c>
      <c r="D9" s="3" t="str" cm="1">
        <f t="array" ref="D9">DMSfromNum(DMStoNum(B9)+DMStoNum(C9))</f>
        <v xml:space="preserve"> 76° 18 ' 0"</v>
      </c>
      <c r="F9" s="17"/>
      <c r="G9" s="17">
        <f>-($B$28/SUM($F$8:$F$14))*F10</f>
        <v>-4.8747051025778386E-2</v>
      </c>
      <c r="H9" s="17">
        <f>-($D$28/SUM($F$8:$F$14))*F10</f>
        <v>1.1673863676739137E-2</v>
      </c>
      <c r="K9" s="17">
        <f>K7+I8</f>
        <v>1626.2530686763591</v>
      </c>
      <c r="L9" s="17">
        <f>L7+J8</f>
        <v>2371.7849597041877</v>
      </c>
      <c r="M9" s="3">
        <v>1</v>
      </c>
    </row>
    <row r="10" spans="1:13" s="3" customFormat="1">
      <c r="E10" s="3" t="str" cm="1">
        <f t="array" ref="E10">DMSfromNum(DMStoNum(E8)+180-DMStoNum(D9))</f>
        <v>104° 7' 0"</v>
      </c>
      <c r="F10" s="17">
        <v>128.56</v>
      </c>
      <c r="G10" s="17" cm="1">
        <f t="array" ref="G10">F10*COS(RADIANS(DMStoNum(E10)))</f>
        <v>-31.355414493921103</v>
      </c>
      <c r="H10" s="17" cm="1">
        <f t="array" ref="H10">F10*SIN(RADIANS(DMStoNum(E10)))</f>
        <v>124.6776306396396</v>
      </c>
      <c r="I10" s="17">
        <f>G10+G9</f>
        <v>-31.404161544946881</v>
      </c>
      <c r="J10" s="17">
        <f>H10+H9</f>
        <v>124.68930450331634</v>
      </c>
      <c r="K10" s="17"/>
      <c r="L10" s="17"/>
    </row>
    <row r="11" spans="1:13" s="3" customFormat="1">
      <c r="A11" s="3">
        <v>2</v>
      </c>
      <c r="B11" s="3" t="s">
        <v>59</v>
      </c>
      <c r="C11" s="3" t="s">
        <v>71</v>
      </c>
      <c r="D11" s="3" t="str" cm="1">
        <f t="array" ref="D11">DMSfromNum(DMStoNum(B11)+DMStoNum(C11))</f>
        <v xml:space="preserve"> 176° 57 ' 0"</v>
      </c>
      <c r="F11" s="17"/>
      <c r="G11" s="17">
        <f>-($B$28/SUM($F$8:$F$14))*F12</f>
        <v>-6.6655601274281134E-2</v>
      </c>
      <c r="H11" s="17">
        <f>-($D$28/SUM($F$8:$F$14))*F12</f>
        <v>1.5962573862274211E-2</v>
      </c>
      <c r="K11" s="17">
        <f t="shared" ref="K11" si="0">K9+I10</f>
        <v>1594.8489071314123</v>
      </c>
      <c r="L11" s="17">
        <f t="shared" ref="L11:L13" si="1">L9+J10</f>
        <v>2496.4742642075039</v>
      </c>
      <c r="M11" s="3">
        <v>2</v>
      </c>
    </row>
    <row r="12" spans="1:13" s="3" customFormat="1">
      <c r="E12" s="3" t="str" cm="1">
        <f t="array" ref="E12">DMSfromNum(DMStoNum(E10)+180-DMStoNum(D11))</f>
        <v>107° 10' 0"</v>
      </c>
      <c r="F12" s="17">
        <v>175.79</v>
      </c>
      <c r="G12" s="17" cm="1">
        <f t="array" ref="G12">F12*COS(RADIANS(DMStoNum(E12)))</f>
        <v>-51.884812552462627</v>
      </c>
      <c r="H12" s="17" cm="1">
        <f t="array" ref="H12">F12*SIN(RADIANS(DMStoNum(E12)))</f>
        <v>167.95859706009637</v>
      </c>
      <c r="I12" s="17">
        <f>G12+G11</f>
        <v>-51.951468153736911</v>
      </c>
      <c r="J12" s="17">
        <f>H12+H11</f>
        <v>167.97455963395865</v>
      </c>
      <c r="K12" s="17"/>
      <c r="L12" s="17"/>
    </row>
    <row r="13" spans="1:13" s="3" customFormat="1">
      <c r="A13" s="3">
        <v>3</v>
      </c>
      <c r="B13" s="3" t="s">
        <v>60</v>
      </c>
      <c r="C13" s="3" t="s">
        <v>70</v>
      </c>
      <c r="D13" s="3" t="str" cm="1">
        <f t="array" ref="D13">DMSfromNum(DMStoNum(B13)+DMStoNum(C13))</f>
        <v xml:space="preserve"> 86° 36 ' 0"</v>
      </c>
      <c r="F13" s="17"/>
      <c r="G13" s="17">
        <f>-($B$28/SUM($F$8:$F$14))*F14</f>
        <v>-8.356312309474985E-2</v>
      </c>
      <c r="H13" s="17">
        <f>-($D$28/SUM($F$8:$F$14))*F14</f>
        <v>2.0011559404789755E-2</v>
      </c>
      <c r="K13" s="17">
        <f>K11+I12</f>
        <v>1542.8974389776754</v>
      </c>
      <c r="L13" s="17">
        <f t="shared" si="1"/>
        <v>2664.4488238414624</v>
      </c>
      <c r="M13" s="3">
        <v>3</v>
      </c>
    </row>
    <row r="14" spans="1:13" s="3" customFormat="1">
      <c r="E14" s="3" t="str" cm="1">
        <f t="array" ref="E14">DMSfromNum(DMStoNum(E12)+180-DMStoNum(D13))</f>
        <v>200° 34' 0"</v>
      </c>
      <c r="F14" s="17">
        <v>220.38</v>
      </c>
      <c r="G14" s="17" cm="1">
        <f t="array" ref="G14">F14*COS(RADIANS(DMStoNum(E14)))</f>
        <v>-206.3338758545805</v>
      </c>
      <c r="H14" s="3" cm="1">
        <f t="array" ref="H14">F14*SIN(RADIANS(DMStoNum(E14)))</f>
        <v>-77.418835400867138</v>
      </c>
      <c r="I14" s="17">
        <f>G14+G13</f>
        <v>-206.41743897767526</v>
      </c>
      <c r="J14" s="17">
        <f>H14+H13</f>
        <v>-77.398823841462345</v>
      </c>
      <c r="K14" s="17"/>
      <c r="L14" s="17"/>
    </row>
    <row r="15" spans="1:13" s="3" customFormat="1">
      <c r="A15" s="3" t="s">
        <v>11</v>
      </c>
      <c r="B15" s="3" t="s">
        <v>61</v>
      </c>
      <c r="C15" s="3" t="s">
        <v>71</v>
      </c>
      <c r="D15" s="3" t="str" cm="1">
        <f t="array" ref="D15">DMSfromNum(DMStoNum(B15)+DMStoNum(C15))</f>
        <v xml:space="preserve"> 241° 43 ' 0"</v>
      </c>
      <c r="F15" s="17"/>
      <c r="K15" s="25">
        <f>Варианты!E3</f>
        <v>1336.48</v>
      </c>
      <c r="L15" s="25">
        <f>Варианты!F3</f>
        <v>2587.0500000000002</v>
      </c>
      <c r="M15" s="3" t="s">
        <v>11</v>
      </c>
    </row>
    <row r="16" spans="1:13" s="3" customFormat="1">
      <c r="E16" s="3" t="str" cm="1">
        <f t="array" ref="E16">DMSfromNum(DMStoNum(E14)+180-DMStoNum(D15))</f>
        <v>138° 51' 0"</v>
      </c>
      <c r="F16" s="17"/>
    </row>
    <row r="17" spans="1:13" s="3" customFormat="1">
      <c r="A17" s="3" t="s">
        <v>53</v>
      </c>
      <c r="F17" s="17"/>
      <c r="M17" s="3" t="s">
        <v>53</v>
      </c>
    </row>
    <row r="18" spans="1:13">
      <c r="B18" s="3"/>
    </row>
    <row r="19" spans="1:13" s="21" customFormat="1">
      <c r="B19" s="22"/>
      <c r="F19" s="23"/>
    </row>
    <row r="20" spans="1:13">
      <c r="A20" s="20" t="s">
        <v>62</v>
      </c>
      <c r="B20" s="19" t="s">
        <v>65</v>
      </c>
      <c r="C20" s="20"/>
    </row>
    <row r="21" spans="1:13">
      <c r="A21" s="20" t="s">
        <v>63</v>
      </c>
      <c r="B21" s="19" t="str" cm="1">
        <f t="array" ref="B21">DMSfromNum(DMStoNum(E6)-DMStoNum(E16)+DMStoNum("180°0'")*5)</f>
        <v>783° 31' 0"</v>
      </c>
      <c r="C21" s="20"/>
    </row>
    <row r="22" spans="1:13">
      <c r="A22" s="20" t="s">
        <v>64</v>
      </c>
      <c r="B22" s="19" t="str" cm="1">
        <f t="array" ref="B22">DMSfromNum(DMStoNum(B20)-DMStoNum(B21))</f>
        <v>4° 24' 0"</v>
      </c>
      <c r="C22" s="20"/>
    </row>
    <row r="23" spans="1:13">
      <c r="A23" s="20" t="s">
        <v>69</v>
      </c>
      <c r="B23" s="19" t="str" cm="1">
        <f t="array" ref="B23">IF(OR(ISNUMBER(SEARCH("30"&amp;CHAR(34),B22)),ISNUMBER(SEARCH("0,5'",B22))),DMSfromNum(DMStoNum(B22)-DMStoNum("0~ 0' 30"&amp;CHAR(34))),B22)</f>
        <v>4° 24' 0"</v>
      </c>
      <c r="C23" s="20"/>
    </row>
    <row r="24" spans="1:13">
      <c r="A24" s="20" t="s">
        <v>66</v>
      </c>
      <c r="B24" s="19" t="s">
        <v>67</v>
      </c>
      <c r="C24" s="20"/>
    </row>
    <row r="25" spans="1:13">
      <c r="A25" s="20" t="s">
        <v>68</v>
      </c>
      <c r="B25" s="19" cm="1">
        <f t="array" ref="B25">-DMStoNum(B22)</f>
        <v>-4.4000000000000004</v>
      </c>
      <c r="C25" s="20"/>
    </row>
    <row r="26" spans="1:13">
      <c r="A26" s="20" t="s">
        <v>72</v>
      </c>
      <c r="B26" s="27">
        <f>SUM(G8,G10,G12,G14)</f>
        <v>-124.56846615607864</v>
      </c>
      <c r="C26" s="20" t="s">
        <v>73</v>
      </c>
      <c r="D26" s="27">
        <f>SUM(H8,H10,H12,H14)</f>
        <v>216.4173683048196</v>
      </c>
    </row>
    <row r="27" spans="1:13">
      <c r="A27" s="20" t="s">
        <v>74</v>
      </c>
      <c r="B27" s="27">
        <f>Варианты!E3-Варианты!B3</f>
        <v>-124.82999999999993</v>
      </c>
      <c r="C27" s="20" t="s">
        <v>75</v>
      </c>
      <c r="D27" s="27">
        <f>Варианты!F3-Варианты!C3</f>
        <v>216.48000000000002</v>
      </c>
    </row>
    <row r="28" spans="1:13">
      <c r="A28" s="20" t="s">
        <v>76</v>
      </c>
      <c r="B28" s="27">
        <f>B26-B27</f>
        <v>0.26153384392128487</v>
      </c>
      <c r="C28" s="20" t="s">
        <v>77</v>
      </c>
      <c r="D28" s="27">
        <f>D26-D27</f>
        <v>-6.2631695180414226E-2</v>
      </c>
    </row>
    <row r="29" spans="1:13">
      <c r="A29" s="20" t="s">
        <v>78</v>
      </c>
      <c r="B29" s="27">
        <f>SQRT(B28^2 + D28^2)</f>
        <v>0.26892876521007436</v>
      </c>
    </row>
    <row r="30" spans="1:13">
      <c r="A30" s="20" t="s">
        <v>79</v>
      </c>
      <c r="B30" s="28">
        <f>1/(SUM(F8:F14))</f>
        <v>1.4498216719343521E-3</v>
      </c>
    </row>
    <row r="36" spans="3:3">
      <c r="C36" s="2" cm="1">
        <f t="array" ref="C36">DMStoNum(C7)</f>
        <v>8.3333333333333332E-3</v>
      </c>
    </row>
    <row r="37" spans="3:3">
      <c r="C37" s="2" cm="1">
        <f t="array" ref="C37">DMStoNum(C9)</f>
        <v>8.3333333333333332E-3</v>
      </c>
    </row>
    <row r="38" spans="3:3">
      <c r="C38" s="2" cm="1">
        <f t="array" ref="C38">DMStoNum(C11)</f>
        <v>0</v>
      </c>
    </row>
    <row r="39" spans="3:3">
      <c r="C39" s="2" cm="1">
        <f t="array" ref="C39">DMStoNum(C13)</f>
        <v>8.3333333333333332E-3</v>
      </c>
    </row>
    <row r="40" spans="3:3">
      <c r="C40" s="2" cm="1">
        <f t="array" ref="C40">DMStoNum(C15)</f>
        <v>0</v>
      </c>
    </row>
    <row r="41" spans="3:3">
      <c r="C41" s="2">
        <f>-SUM(C36:C40)</f>
        <v>-2.5000000000000001E-2</v>
      </c>
    </row>
  </sheetData>
  <sheetProtection algorithmName="SHA-512" hashValue="y+4cwOCtxnmYsqpExD6I2C4D1eMR+X1QJQtrSdqnEpnIyv/4e7HN/JxdlmpgIrUcr0kCLw3ihQ6xzaGhafE+ew==" saltValue="quJljodpHJHfR+Pvt7TQBg==" spinCount="100000" sheet="1" objects="1" scenarios="1"/>
  <mergeCells count="11">
    <mergeCell ref="G2:H2"/>
    <mergeCell ref="I2:J2"/>
    <mergeCell ref="K1:L2"/>
    <mergeCell ref="M1:M3"/>
    <mergeCell ref="G1:J1"/>
    <mergeCell ref="F1:F3"/>
    <mergeCell ref="A1:A3"/>
    <mergeCell ref="B1:B3"/>
    <mergeCell ref="C1:C3"/>
    <mergeCell ref="D1:D3"/>
    <mergeCell ref="E1:E3"/>
  </mergeCells>
  <conditionalFormatting sqref="C41">
    <cfRule type="cellIs" dxfId="17" priority="6" operator="equal">
      <formula>$B$25</formula>
    </cfRule>
  </conditionalFormatting>
  <conditionalFormatting sqref="B30">
    <cfRule type="cellIs" dxfId="16" priority="4" operator="lessThan">
      <formula>36526</formula>
    </cfRule>
  </conditionalFormatting>
  <conditionalFormatting sqref="K15">
    <cfRule type="cellIs" dxfId="15" priority="2" operator="notEqual">
      <formula>K13+I14</formula>
    </cfRule>
  </conditionalFormatting>
  <conditionalFormatting sqref="L15">
    <cfRule type="cellIs" dxfId="14" priority="1" operator="notEqual">
      <formula>L13+J14</formula>
    </cfRule>
  </conditionalFormatting>
  <pageMargins left="0.7" right="0.7" top="0.75" bottom="0.75" header="0.3" footer="0.3"/>
  <pageSetup scale="57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5" operator="notEqual" id="{C41231C9-5D55-4D52-8196-1E157CEE14DA}">
            <xm:f>DMSfromNum(DMStoNum(Варианты!$I$3))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E16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A6145-9330-44CB-B92C-4ECB6AE7B326}">
  <sheetPr codeName="Sheet4"/>
  <dimension ref="A1:J1"/>
  <sheetViews>
    <sheetView workbookViewId="0">
      <selection activeCell="A2" sqref="A2"/>
    </sheetView>
  </sheetViews>
  <sheetFormatPr defaultColWidth="8.6640625" defaultRowHeight="16.5"/>
  <sheetData>
    <row r="1" spans="1:10" ht="18.75">
      <c r="A1" s="85" t="s">
        <v>54</v>
      </c>
      <c r="B1" s="86"/>
      <c r="C1" s="86"/>
      <c r="D1" s="86"/>
      <c r="E1" s="86"/>
      <c r="F1" s="86"/>
      <c r="G1" s="86"/>
      <c r="H1" s="86"/>
      <c r="I1" s="86"/>
      <c r="J1" s="87"/>
    </row>
  </sheetData>
  <mergeCells count="1">
    <mergeCell ref="A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CE783-3F44-48DE-A0E4-0D5420449059}">
  <sheetPr codeName="Sheet1"/>
  <dimension ref="A1:K15"/>
  <sheetViews>
    <sheetView zoomScale="115" zoomScaleNormal="115" workbookViewId="0">
      <selection activeCell="J3" sqref="J3:J11"/>
    </sheetView>
  </sheetViews>
  <sheetFormatPr defaultColWidth="8.88671875" defaultRowHeight="16.5"/>
  <cols>
    <col min="1" max="1" width="8.88671875" style="6"/>
    <col min="2" max="2" width="10.6640625" style="5" customWidth="1"/>
    <col min="3" max="4" width="12" style="6" bestFit="1" customWidth="1"/>
    <col min="5" max="16384" width="8.88671875" style="6"/>
  </cols>
  <sheetData>
    <row r="1" spans="1:11">
      <c r="A1" s="5" t="s">
        <v>0</v>
      </c>
      <c r="B1" s="5" t="s">
        <v>1</v>
      </c>
      <c r="C1" s="5" t="s">
        <v>8</v>
      </c>
      <c r="D1" s="5" t="s">
        <v>9</v>
      </c>
      <c r="E1" s="5" t="s">
        <v>2</v>
      </c>
      <c r="F1" s="5" t="s">
        <v>3</v>
      </c>
      <c r="G1" s="5" t="s">
        <v>4</v>
      </c>
      <c r="H1" s="5" t="s">
        <v>5</v>
      </c>
      <c r="I1" s="5" t="s">
        <v>6</v>
      </c>
      <c r="J1" s="5" t="s">
        <v>7</v>
      </c>
      <c r="K1" s="5" t="s">
        <v>0</v>
      </c>
    </row>
    <row r="2" spans="1:11">
      <c r="A2" s="7">
        <v>1</v>
      </c>
      <c r="B2" s="7">
        <v>2</v>
      </c>
      <c r="C2" s="7">
        <v>3</v>
      </c>
      <c r="D2" s="7">
        <v>4</v>
      </c>
      <c r="E2" s="7">
        <v>5</v>
      </c>
      <c r="F2" s="7">
        <v>6</v>
      </c>
      <c r="G2" s="7">
        <v>7</v>
      </c>
      <c r="H2" s="7">
        <v>8</v>
      </c>
      <c r="I2" s="7">
        <v>9</v>
      </c>
      <c r="J2" s="7">
        <v>10</v>
      </c>
      <c r="K2" s="7">
        <v>11</v>
      </c>
    </row>
    <row r="3" spans="1:11">
      <c r="A3" s="5" t="s">
        <v>10</v>
      </c>
      <c r="J3" s="8">
        <f>Варианты!D3</f>
        <v>132.24</v>
      </c>
      <c r="K3" s="5" t="s">
        <v>10</v>
      </c>
    </row>
    <row r="4" spans="1:11">
      <c r="A4" s="5"/>
      <c r="B4" s="30">
        <f>'Таблица 5'!B3</f>
        <v>165.065</v>
      </c>
      <c r="C4" t="s">
        <v>82</v>
      </c>
      <c r="D4" t="s">
        <v>85</v>
      </c>
      <c r="E4" s="5">
        <v>4.3899999999999997</v>
      </c>
      <c r="F4" s="5">
        <v>-4.3499999999999996</v>
      </c>
      <c r="G4" s="5">
        <v>4.37</v>
      </c>
      <c r="H4" s="29">
        <f>-($B$13/SUM('Таблица 7'!$F$8:$F$14)*'Таблица 7'!F8)</f>
        <v>-2.1531156667731321E-2</v>
      </c>
      <c r="I4" s="29">
        <f>G4+H4</f>
        <v>4.3484688433322685</v>
      </c>
      <c r="K4" s="5"/>
    </row>
    <row r="5" spans="1:11">
      <c r="A5" s="5">
        <v>111</v>
      </c>
      <c r="C5"/>
      <c r="D5"/>
      <c r="E5" s="5"/>
      <c r="F5" s="5"/>
      <c r="G5" s="5"/>
      <c r="H5" s="29"/>
      <c r="I5" s="29"/>
      <c r="J5" s="6">
        <f>J3+I4</f>
        <v>136.58846884333227</v>
      </c>
      <c r="K5" s="5">
        <v>111</v>
      </c>
    </row>
    <row r="6" spans="1:11">
      <c r="A6" s="5"/>
      <c r="B6" s="30">
        <f>'Таблица 5'!B4</f>
        <v>128.61500000000001</v>
      </c>
      <c r="C6" t="s">
        <v>83</v>
      </c>
      <c r="D6" t="s">
        <v>86</v>
      </c>
      <c r="E6" s="5">
        <v>-3.89</v>
      </c>
      <c r="F6" s="5">
        <v>3.91</v>
      </c>
      <c r="G6" s="5">
        <v>-3.9</v>
      </c>
      <c r="H6" s="29">
        <f>-($B$13/SUM('Таблица 7'!$F$8:$F$14)*'Таблица 7'!F10)</f>
        <v>-1.6775016672950359E-2</v>
      </c>
      <c r="I6" s="29">
        <f t="shared" ref="I6:I10" si="0">G6+H6</f>
        <v>-3.9167750166729505</v>
      </c>
      <c r="K6" s="5"/>
    </row>
    <row r="7" spans="1:11">
      <c r="A7" s="5">
        <v>112</v>
      </c>
      <c r="C7"/>
      <c r="D7"/>
      <c r="E7" s="5"/>
      <c r="F7" s="5"/>
      <c r="G7" s="5"/>
      <c r="H7" s="29"/>
      <c r="I7" s="29"/>
      <c r="J7" s="6">
        <f>J5+I6</f>
        <v>132.67169382665932</v>
      </c>
      <c r="K7" s="5">
        <v>112</v>
      </c>
    </row>
    <row r="8" spans="1:11">
      <c r="A8" s="5"/>
      <c r="B8" s="30">
        <f>'Таблица 5'!B5</f>
        <v>175.79</v>
      </c>
      <c r="C8" t="s">
        <v>89</v>
      </c>
      <c r="D8" t="s">
        <v>88</v>
      </c>
      <c r="E8" s="5">
        <v>0.66</v>
      </c>
      <c r="F8" s="5">
        <v>-0.61</v>
      </c>
      <c r="G8" s="5">
        <v>0.64</v>
      </c>
      <c r="H8" s="29">
        <f>-($B$13/SUM('Таблица 7'!$F$8:$F$14)*'Таблица 7'!F12)</f>
        <v>-2.2937773653842124E-2</v>
      </c>
      <c r="I8" s="29">
        <f t="shared" si="0"/>
        <v>0.61706222634615793</v>
      </c>
      <c r="K8" s="5"/>
    </row>
    <row r="9" spans="1:11">
      <c r="A9" s="5">
        <v>113</v>
      </c>
      <c r="C9"/>
      <c r="D9"/>
      <c r="E9" s="5"/>
      <c r="F9" s="5"/>
      <c r="G9" s="5"/>
      <c r="H9" s="29"/>
      <c r="I9" s="29"/>
      <c r="J9" s="6">
        <f>J7+I8</f>
        <v>133.28875605300547</v>
      </c>
      <c r="K9" s="5">
        <v>113</v>
      </c>
    </row>
    <row r="10" spans="1:11">
      <c r="A10" s="5"/>
      <c r="B10" s="30">
        <f>'Таблица 5'!B6</f>
        <v>220.38</v>
      </c>
      <c r="C10" t="s">
        <v>84</v>
      </c>
      <c r="D10" t="s">
        <v>87</v>
      </c>
      <c r="E10" s="5">
        <v>-1.63</v>
      </c>
      <c r="F10" s="5">
        <v>1.7</v>
      </c>
      <c r="G10" s="5">
        <v>-1.67</v>
      </c>
      <c r="H10" s="29">
        <f>-($B$13/SUM('Таблица 7'!$F$8:$F$14)*'Таблица 7'!F14)</f>
        <v>-2.8756053005482268E-2</v>
      </c>
      <c r="I10" s="29">
        <f t="shared" si="0"/>
        <v>-1.6987560530054822</v>
      </c>
      <c r="K10" s="5"/>
    </row>
    <row r="11" spans="1:11">
      <c r="A11" s="5" t="s">
        <v>11</v>
      </c>
      <c r="J11" s="34">
        <f>Варианты!G3</f>
        <v>131.59</v>
      </c>
      <c r="K11" s="5" t="s">
        <v>11</v>
      </c>
    </row>
    <row r="12" spans="1:11">
      <c r="B12" s="30"/>
    </row>
    <row r="13" spans="1:11">
      <c r="A13" s="31" t="s">
        <v>90</v>
      </c>
      <c r="B13" s="32">
        <f>SUM(G4,G6,G8,G10)-(J11-J3)</f>
        <v>9.0000000000006075E-2</v>
      </c>
    </row>
    <row r="14" spans="1:11">
      <c r="A14" s="20" t="s">
        <v>91</v>
      </c>
      <c r="B14" s="32">
        <f>-B13</f>
        <v>-9.0000000000006075E-2</v>
      </c>
    </row>
    <row r="15" spans="1:11">
      <c r="A15" s="31" t="s">
        <v>92</v>
      </c>
      <c r="B15" s="33">
        <f>(0.04*SUM(B4,B6,B8,B10))/SQRT(4)/100</f>
        <v>0.13797000000000001</v>
      </c>
    </row>
  </sheetData>
  <sheetProtection algorithmName="SHA-512" hashValue="w2v9eiAklmwmMWJ3IacPp1V3wu+l3HN9r8W4P2JS0Ccj2tcgLw5LY3iGMNI7nSNvqPuxUhSAujkRFrbO8SqgFA==" saltValue="jMfQmP8IPj9OKmZpTRKIWw==" spinCount="100000" sheet="1" objects="1" scenarios="1"/>
  <conditionalFormatting sqref="J11">
    <cfRule type="cellIs" dxfId="12" priority="1" operator="notEqual">
      <formula>$J$9+$I$10</formula>
    </cfRule>
  </conditionalFormatting>
  <pageMargins left="0.7" right="0.7" top="0.75" bottom="0.75" header="0.3" footer="0.3"/>
  <pageSetup scale="73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71C67-EB29-4E15-B034-3097C2AC01E8}">
  <sheetPr codeName="Sheet5"/>
  <dimension ref="A1:L32"/>
  <sheetViews>
    <sheetView zoomScale="79" zoomScaleNormal="79" workbookViewId="0">
      <selection activeCell="K1" sqref="K1"/>
    </sheetView>
  </sheetViews>
  <sheetFormatPr defaultColWidth="8.88671875" defaultRowHeight="16.5"/>
  <cols>
    <col min="1" max="1" width="8.88671875" style="4"/>
    <col min="2" max="2" width="11.109375" style="4" customWidth="1"/>
    <col min="3" max="3" width="11.44140625" style="4" customWidth="1"/>
    <col min="4" max="4" width="14.109375" style="4" bestFit="1" customWidth="1"/>
    <col min="5" max="5" width="11.33203125" style="4" customWidth="1"/>
    <col min="6" max="11" width="8.88671875" style="4"/>
    <col min="12" max="12" width="8.88671875" style="10"/>
    <col min="13" max="16384" width="8.88671875" style="4"/>
  </cols>
  <sheetData>
    <row r="1" spans="1:12" s="2" customFormat="1" ht="82.5">
      <c r="A1" s="2" t="s">
        <v>13</v>
      </c>
      <c r="B1" s="2" t="s">
        <v>14</v>
      </c>
      <c r="C1" s="2" t="s">
        <v>15</v>
      </c>
      <c r="D1" s="2" t="s">
        <v>16</v>
      </c>
      <c r="E1" s="2" t="s">
        <v>17</v>
      </c>
      <c r="F1" s="2" t="s">
        <v>18</v>
      </c>
      <c r="G1" s="2" t="s">
        <v>19</v>
      </c>
      <c r="H1" s="2" t="s">
        <v>20</v>
      </c>
      <c r="I1" s="2" t="s">
        <v>21</v>
      </c>
      <c r="J1" s="2" t="s">
        <v>22</v>
      </c>
      <c r="K1" s="2" t="s">
        <v>23</v>
      </c>
      <c r="L1" s="9"/>
    </row>
    <row r="2" spans="1:12" s="3" customFormat="1">
      <c r="A2" s="3">
        <v>1</v>
      </c>
      <c r="B2" s="3">
        <v>2</v>
      </c>
      <c r="C2" s="3">
        <v>3</v>
      </c>
      <c r="D2" s="3">
        <v>4</v>
      </c>
      <c r="E2" s="3">
        <v>5</v>
      </c>
      <c r="F2" s="3">
        <v>6</v>
      </c>
      <c r="G2" s="3">
        <v>7</v>
      </c>
      <c r="H2" s="3">
        <v>8</v>
      </c>
      <c r="I2" s="3">
        <v>9</v>
      </c>
      <c r="J2" s="3">
        <v>10</v>
      </c>
      <c r="K2" s="3">
        <v>11</v>
      </c>
      <c r="L2" s="10"/>
    </row>
    <row r="3" spans="1:12">
      <c r="A3" s="98" t="str">
        <f>"Станция ПЗ 41  М0=0°01' i=1,43 Hст=" &amp; 'Таблица 9'!J3 &amp; "м"</f>
        <v>Станция ПЗ 41  М0=0°01' i=1,43 Hст=132.24м</v>
      </c>
      <c r="B3" s="98"/>
      <c r="C3" s="98"/>
      <c r="D3" s="98"/>
      <c r="E3" s="98"/>
      <c r="F3" s="98"/>
      <c r="G3" s="98"/>
      <c r="H3" s="98"/>
      <c r="I3" s="98"/>
      <c r="J3" s="98"/>
      <c r="K3" s="98"/>
    </row>
    <row r="4" spans="1:12">
      <c r="A4" s="98" t="s">
        <v>11</v>
      </c>
      <c r="L4" s="98" t="s">
        <v>11</v>
      </c>
    </row>
    <row r="5" spans="1:12">
      <c r="A5" s="98"/>
      <c r="L5" s="98"/>
    </row>
    <row r="6" spans="1:12">
      <c r="A6" s="10">
        <v>1</v>
      </c>
      <c r="C6" s="4">
        <v>88</v>
      </c>
      <c r="D6" s="4" t="s">
        <v>207</v>
      </c>
      <c r="J6" s="4">
        <v>-2.69</v>
      </c>
      <c r="K6" s="4">
        <f>J6+'Таблица 9'!$J$3</f>
        <v>129.55000000000001</v>
      </c>
      <c r="L6" s="10">
        <v>1</v>
      </c>
    </row>
    <row r="7" spans="1:12">
      <c r="A7" s="10">
        <v>2</v>
      </c>
      <c r="C7" s="4">
        <v>111</v>
      </c>
      <c r="D7" s="4" t="s">
        <v>208</v>
      </c>
      <c r="J7" s="4">
        <v>-3.7</v>
      </c>
      <c r="K7" s="4">
        <f>J7+'Таблица 9'!$J$3</f>
        <v>128.54000000000002</v>
      </c>
      <c r="L7" s="10">
        <v>2</v>
      </c>
    </row>
    <row r="8" spans="1:12">
      <c r="A8" s="10">
        <v>3</v>
      </c>
      <c r="C8" s="4">
        <v>155</v>
      </c>
      <c r="D8" s="4" t="s">
        <v>209</v>
      </c>
      <c r="J8" s="4">
        <v>-3.29</v>
      </c>
      <c r="K8" s="4">
        <f>J8+'Таблица 9'!$J$3</f>
        <v>128.95000000000002</v>
      </c>
      <c r="L8" s="10">
        <v>3</v>
      </c>
    </row>
    <row r="9" spans="1:12">
      <c r="A9" s="10">
        <v>4</v>
      </c>
      <c r="C9" s="4">
        <v>132</v>
      </c>
      <c r="D9" s="4" t="s">
        <v>210</v>
      </c>
      <c r="J9" s="4">
        <v>-3.33</v>
      </c>
      <c r="K9" s="4">
        <f>J9+'Таблица 9'!$J$3</f>
        <v>128.91</v>
      </c>
      <c r="L9" s="10">
        <v>4</v>
      </c>
    </row>
    <row r="10" spans="1:12">
      <c r="A10" s="10">
        <v>5</v>
      </c>
      <c r="C10" s="4">
        <v>141</v>
      </c>
      <c r="D10" s="4" t="s">
        <v>211</v>
      </c>
      <c r="J10" s="4">
        <v>0.08</v>
      </c>
      <c r="K10" s="4">
        <f>J10+'Таблица 9'!$J$3</f>
        <v>132.32000000000002</v>
      </c>
      <c r="L10" s="10">
        <v>5</v>
      </c>
    </row>
    <row r="11" spans="1:12">
      <c r="A11" s="98" t="str">
        <f>"Станция 111  М0=      i=      Hст=" &amp; 'Таблица 9'!J5 &amp; "м"</f>
        <v>Станция 111  М0=      i=      Hст=136.588468843332м</v>
      </c>
      <c r="B11" s="98"/>
      <c r="C11" s="98"/>
      <c r="D11" s="98"/>
      <c r="E11" s="98"/>
      <c r="F11" s="98"/>
      <c r="G11" s="98"/>
      <c r="H11" s="98"/>
      <c r="I11" s="98"/>
      <c r="J11" s="98"/>
      <c r="K11" s="98"/>
    </row>
    <row r="12" spans="1:12">
      <c r="A12" s="10">
        <v>6</v>
      </c>
      <c r="C12" s="4">
        <v>94</v>
      </c>
      <c r="D12" s="4" t="s">
        <v>212</v>
      </c>
      <c r="J12" s="4">
        <v>-2.95</v>
      </c>
      <c r="K12" s="55">
        <f>J12+'Таблица 9'!$J$5</f>
        <v>133.63846884333228</v>
      </c>
      <c r="L12" s="10">
        <v>6</v>
      </c>
    </row>
    <row r="13" spans="1:12">
      <c r="A13" s="10">
        <v>7</v>
      </c>
      <c r="C13" s="4">
        <v>131</v>
      </c>
      <c r="D13" s="4" t="s">
        <v>213</v>
      </c>
      <c r="J13" s="4">
        <v>-2.66</v>
      </c>
      <c r="K13" s="55">
        <f>J13+'Таблица 9'!$J$5</f>
        <v>133.92846884333227</v>
      </c>
      <c r="L13" s="10">
        <v>7</v>
      </c>
    </row>
    <row r="14" spans="1:12">
      <c r="A14" s="10">
        <v>8</v>
      </c>
      <c r="C14" s="4">
        <v>128</v>
      </c>
      <c r="D14" s="4" t="s">
        <v>214</v>
      </c>
      <c r="J14" s="4">
        <v>-4.05</v>
      </c>
      <c r="K14" s="55">
        <f>J14+'Таблица 9'!$J$5</f>
        <v>132.53846884333225</v>
      </c>
      <c r="L14" s="10">
        <v>8</v>
      </c>
    </row>
    <row r="15" spans="1:12">
      <c r="A15" s="10">
        <v>9</v>
      </c>
      <c r="C15" s="4">
        <v>124</v>
      </c>
      <c r="D15" s="4" t="s">
        <v>215</v>
      </c>
      <c r="J15" s="4">
        <v>-4.1500000000000004</v>
      </c>
      <c r="K15" s="55">
        <f>J15+'Таблица 9'!$J$5</f>
        <v>132.43846884333226</v>
      </c>
      <c r="L15" s="10">
        <v>9</v>
      </c>
    </row>
    <row r="16" spans="1:12">
      <c r="A16" s="98" t="str">
        <f>"Станция 112  М0=0°01' i=1,43 Hст=" &amp; 'Таблица 9'!J7 &amp; "м"</f>
        <v>Станция 112  М0=0°01' i=1,43 Hст=132.671693826659м</v>
      </c>
      <c r="B16" s="98"/>
      <c r="C16" s="98"/>
      <c r="D16" s="98"/>
      <c r="E16" s="98"/>
      <c r="F16" s="98"/>
      <c r="G16" s="98"/>
      <c r="H16" s="98"/>
      <c r="I16" s="98"/>
      <c r="J16" s="98"/>
      <c r="K16" s="98"/>
    </row>
    <row r="17" spans="1:12">
      <c r="A17" s="10">
        <v>10</v>
      </c>
      <c r="C17" s="4">
        <v>87</v>
      </c>
      <c r="D17" s="4" t="s">
        <v>216</v>
      </c>
      <c r="J17" s="4">
        <v>-0.81</v>
      </c>
      <c r="K17" s="55">
        <f>J17+'Таблица 9'!$J$7</f>
        <v>131.86169382665932</v>
      </c>
      <c r="L17" s="10">
        <v>10</v>
      </c>
    </row>
    <row r="18" spans="1:12">
      <c r="A18" s="10">
        <v>11</v>
      </c>
      <c r="C18" s="4">
        <v>132</v>
      </c>
      <c r="D18" s="4" t="s">
        <v>217</v>
      </c>
      <c r="J18" s="4">
        <v>-1</v>
      </c>
      <c r="K18" s="55">
        <f>J18+'Таблица 9'!$J$7</f>
        <v>131.67169382665932</v>
      </c>
      <c r="L18" s="10">
        <v>11</v>
      </c>
    </row>
    <row r="19" spans="1:12">
      <c r="A19" s="10">
        <v>12</v>
      </c>
      <c r="C19" s="4">
        <v>127</v>
      </c>
      <c r="D19" s="4" t="s">
        <v>218</v>
      </c>
      <c r="J19" s="4">
        <v>-1.99</v>
      </c>
      <c r="K19" s="55">
        <f>J19+'Таблица 9'!$J$7</f>
        <v>130.68169382665931</v>
      </c>
      <c r="L19" s="10">
        <v>12</v>
      </c>
    </row>
    <row r="20" spans="1:12">
      <c r="A20" s="10">
        <v>13</v>
      </c>
      <c r="C20" s="4">
        <v>53</v>
      </c>
      <c r="D20" s="4" t="s">
        <v>219</v>
      </c>
      <c r="J20" s="4">
        <v>-0.49</v>
      </c>
      <c r="K20" s="55">
        <f>J20+'Таблица 9'!$J$7</f>
        <v>132.18169382665931</v>
      </c>
      <c r="L20" s="10">
        <v>13</v>
      </c>
    </row>
    <row r="21" spans="1:12">
      <c r="A21" s="98" t="str">
        <f>"Станция 113  М0=0°00' i=1,47 Hст=" &amp; 'Таблица 9'!J9 &amp; "м"</f>
        <v>Станция 113  М0=0°00' i=1,47 Hст=133.288756053005м</v>
      </c>
      <c r="B21" s="98"/>
      <c r="C21" s="98"/>
      <c r="D21" s="98"/>
      <c r="E21" s="98"/>
      <c r="F21" s="98"/>
      <c r="G21" s="98"/>
      <c r="H21" s="98"/>
      <c r="I21" s="98"/>
      <c r="J21" s="98"/>
      <c r="K21" s="98"/>
    </row>
    <row r="22" spans="1:12">
      <c r="A22" s="10">
        <v>14</v>
      </c>
      <c r="C22" s="4">
        <v>114</v>
      </c>
      <c r="D22" s="4" t="s">
        <v>220</v>
      </c>
      <c r="J22" s="4">
        <v>-1.69</v>
      </c>
      <c r="K22" s="55">
        <f>J22+'Таблица 9'!$J$9</f>
        <v>131.59875605300547</v>
      </c>
      <c r="L22" s="10">
        <v>14</v>
      </c>
    </row>
    <row r="23" spans="1:12">
      <c r="A23" s="10">
        <v>15</v>
      </c>
      <c r="C23" s="4">
        <v>82</v>
      </c>
      <c r="D23" s="4" t="s">
        <v>221</v>
      </c>
      <c r="J23" s="4">
        <v>-1.36</v>
      </c>
      <c r="K23" s="55">
        <f>J23+'Таблица 9'!$J$9</f>
        <v>131.92875605300546</v>
      </c>
      <c r="L23" s="10">
        <v>15</v>
      </c>
    </row>
    <row r="24" spans="1:12">
      <c r="A24" s="10">
        <v>16</v>
      </c>
      <c r="C24" s="4">
        <v>84.5</v>
      </c>
      <c r="D24" s="4" t="s">
        <v>222</v>
      </c>
      <c r="J24" s="4">
        <v>0.49</v>
      </c>
      <c r="K24" s="55">
        <f>J24+'Таблица 9'!$J$9</f>
        <v>133.77875605300548</v>
      </c>
      <c r="L24" s="10">
        <v>16</v>
      </c>
    </row>
    <row r="25" spans="1:12">
      <c r="A25" s="10">
        <v>17</v>
      </c>
      <c r="C25" s="4">
        <v>81.5</v>
      </c>
      <c r="D25" s="4" t="s">
        <v>223</v>
      </c>
      <c r="J25" s="4">
        <v>0.4</v>
      </c>
      <c r="K25" s="55">
        <f>J25+'Таблица 9'!$J$9</f>
        <v>133.68875605300548</v>
      </c>
      <c r="L25" s="10">
        <v>17</v>
      </c>
    </row>
    <row r="26" spans="1:12">
      <c r="A26" s="98" t="str">
        <f>"Станция ПЗ 42 М0=      i=1,44 Hст=" &amp; 'Таблица 9'!J11 &amp; "м"</f>
        <v>Станция ПЗ 42 М0=      i=1,44 Hст=131.59м</v>
      </c>
      <c r="B26" s="98"/>
      <c r="C26" s="98"/>
      <c r="D26" s="98"/>
      <c r="E26" s="98"/>
      <c r="F26" s="98"/>
      <c r="G26" s="98"/>
      <c r="H26" s="98"/>
      <c r="I26" s="98"/>
      <c r="J26" s="98"/>
      <c r="K26" s="98"/>
    </row>
    <row r="27" spans="1:12">
      <c r="A27" s="10">
        <v>18</v>
      </c>
      <c r="C27" s="4">
        <v>54</v>
      </c>
      <c r="D27" s="4" t="s">
        <v>224</v>
      </c>
      <c r="J27" s="4">
        <v>1.7</v>
      </c>
      <c r="K27" s="4">
        <f>J27+'Таблица 9'!$J$11</f>
        <v>133.29</v>
      </c>
      <c r="L27" s="10">
        <v>18</v>
      </c>
    </row>
    <row r="28" spans="1:12">
      <c r="A28" s="10">
        <v>19</v>
      </c>
      <c r="C28" s="4">
        <v>123</v>
      </c>
      <c r="D28" s="4" t="s">
        <v>225</v>
      </c>
      <c r="J28" s="4">
        <v>-3.72</v>
      </c>
      <c r="K28" s="4">
        <f>J28+'Таблица 9'!$J$11</f>
        <v>127.87</v>
      </c>
      <c r="L28" s="10">
        <v>19</v>
      </c>
    </row>
    <row r="29" spans="1:12">
      <c r="A29" s="10">
        <v>20</v>
      </c>
      <c r="C29" s="4">
        <v>90</v>
      </c>
      <c r="D29" s="4" t="s">
        <v>226</v>
      </c>
      <c r="J29" s="4">
        <v>-3.69</v>
      </c>
      <c r="K29" s="4">
        <f>J29+'Таблица 9'!$J$11</f>
        <v>127.9</v>
      </c>
      <c r="L29" s="10">
        <v>20</v>
      </c>
    </row>
    <row r="30" spans="1:12">
      <c r="A30" s="10">
        <v>21</v>
      </c>
      <c r="C30" s="4">
        <v>148</v>
      </c>
      <c r="D30" s="4" t="s">
        <v>227</v>
      </c>
      <c r="J30" s="4">
        <v>-3.4</v>
      </c>
      <c r="K30" s="4">
        <f>J30+'Таблица 9'!$J$11</f>
        <v>128.19</v>
      </c>
      <c r="L30" s="10">
        <v>21</v>
      </c>
    </row>
    <row r="31" spans="1:12">
      <c r="A31" s="10">
        <v>22</v>
      </c>
      <c r="C31" s="4">
        <v>76.5</v>
      </c>
      <c r="D31" s="4" t="s">
        <v>228</v>
      </c>
      <c r="J31" s="4">
        <v>-0.4</v>
      </c>
      <c r="K31" s="4">
        <f>J31+'Таблица 9'!$J$11</f>
        <v>131.19</v>
      </c>
      <c r="L31" s="10">
        <v>22</v>
      </c>
    </row>
    <row r="32" spans="1:12">
      <c r="A32" s="10">
        <v>23</v>
      </c>
      <c r="C32" s="4">
        <v>96</v>
      </c>
      <c r="D32" s="4" t="s">
        <v>229</v>
      </c>
      <c r="J32" s="4">
        <v>1.7</v>
      </c>
      <c r="K32" s="4">
        <f>J32+'Таблица 9'!$J$11</f>
        <v>133.29</v>
      </c>
      <c r="L32" s="10">
        <v>23</v>
      </c>
    </row>
  </sheetData>
  <mergeCells count="7">
    <mergeCell ref="A21:K21"/>
    <mergeCell ref="A26:K26"/>
    <mergeCell ref="A3:K3"/>
    <mergeCell ref="A4:A5"/>
    <mergeCell ref="L4:L5"/>
    <mergeCell ref="A11:K11"/>
    <mergeCell ref="A16:K16"/>
  </mergeCells>
  <pageMargins left="0.7" right="0.7" top="0.75" bottom="0.75" header="0.3" footer="0.3"/>
  <pageSetup scale="67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84F26-DD82-418F-BEEE-8315002BF71F}">
  <sheetPr codeName="Sheet7"/>
  <dimension ref="A1:F27"/>
  <sheetViews>
    <sheetView workbookViewId="0">
      <selection activeCell="E15" sqref="E15"/>
    </sheetView>
  </sheetViews>
  <sheetFormatPr defaultRowHeight="16.5"/>
  <sheetData>
    <row r="1" spans="1:6">
      <c r="A1" s="3" t="s">
        <v>12</v>
      </c>
      <c r="B1" s="3" t="str">
        <f>'Таблица 7'!K3</f>
        <v>X</v>
      </c>
      <c r="C1" s="3" t="str">
        <f>'Таблица 7'!L3</f>
        <v>Y</v>
      </c>
      <c r="D1" s="3" t="s">
        <v>7</v>
      </c>
    </row>
    <row r="2" spans="1:6">
      <c r="A2" s="3" t="s">
        <v>230</v>
      </c>
      <c r="B2" s="3">
        <f>'Таблица 7'!K7</f>
        <v>1461.31</v>
      </c>
      <c r="C2" s="3">
        <f>'Таблица 7'!L7</f>
        <v>2370.5700000000002</v>
      </c>
      <c r="D2">
        <f>'Таблица 9'!J3</f>
        <v>132.24</v>
      </c>
      <c r="F2" s="10"/>
    </row>
    <row r="3" spans="1:6">
      <c r="A3" s="3">
        <v>111</v>
      </c>
      <c r="B3" s="3">
        <f>'Таблица 7'!K9</f>
        <v>1626.2530686763591</v>
      </c>
      <c r="C3" s="3">
        <f>'Таблица 7'!L9</f>
        <v>2371.7849597041877</v>
      </c>
      <c r="D3">
        <f>'Таблица 9'!J5</f>
        <v>136.58846884333227</v>
      </c>
      <c r="F3" s="10"/>
    </row>
    <row r="4" spans="1:6">
      <c r="A4" s="3">
        <v>112</v>
      </c>
      <c r="B4" s="3">
        <f>'Таблица 7'!K11</f>
        <v>1594.8489071314123</v>
      </c>
      <c r="C4" s="3">
        <f>'Таблица 7'!L11</f>
        <v>2496.4742642075039</v>
      </c>
      <c r="D4">
        <f>'Таблица 9'!J7</f>
        <v>132.67169382665932</v>
      </c>
      <c r="F4" s="10"/>
    </row>
    <row r="5" spans="1:6">
      <c r="A5" s="3">
        <v>113</v>
      </c>
      <c r="B5" s="3">
        <f>'Таблица 7'!K13</f>
        <v>1542.8974389776754</v>
      </c>
      <c r="C5" s="3">
        <f>'Таблица 7'!L13</f>
        <v>2664.4488238414624</v>
      </c>
      <c r="D5">
        <f>'Таблица 9'!J9</f>
        <v>133.28875605300547</v>
      </c>
      <c r="F5" s="10"/>
    </row>
    <row r="6" spans="1:6">
      <c r="A6" s="3" t="s">
        <v>231</v>
      </c>
      <c r="B6" s="3">
        <f>'Таблица 7'!K15</f>
        <v>1336.48</v>
      </c>
      <c r="C6" s="3">
        <f>'Таблица 7'!L15</f>
        <v>2587.0500000000002</v>
      </c>
      <c r="D6">
        <f>'Таблица 9'!J11</f>
        <v>131.59</v>
      </c>
      <c r="F6" s="10"/>
    </row>
    <row r="8" spans="1:6">
      <c r="F8" s="10"/>
    </row>
    <row r="9" spans="1:6">
      <c r="F9" s="10"/>
    </row>
    <row r="10" spans="1:6">
      <c r="F10" s="10"/>
    </row>
    <row r="11" spans="1:6">
      <c r="F11" s="10"/>
    </row>
    <row r="13" spans="1:6">
      <c r="F13" s="10"/>
    </row>
    <row r="14" spans="1:6">
      <c r="F14" s="10"/>
    </row>
    <row r="15" spans="1:6">
      <c r="F15" s="10"/>
    </row>
    <row r="16" spans="1:6">
      <c r="F16" s="10"/>
    </row>
    <row r="17" spans="6:6">
      <c r="F17" s="10"/>
    </row>
    <row r="18" spans="6:6">
      <c r="F18" s="10"/>
    </row>
    <row r="19" spans="6:6">
      <c r="F19" s="10"/>
    </row>
    <row r="20" spans="6:6">
      <c r="F20" s="10"/>
    </row>
    <row r="21" spans="6:6">
      <c r="F21" s="10"/>
    </row>
    <row r="23" spans="6:6">
      <c r="F23" s="10"/>
    </row>
    <row r="24" spans="6:6">
      <c r="F24" s="10"/>
    </row>
    <row r="25" spans="6:6">
      <c r="F25" s="10"/>
    </row>
    <row r="26" spans="6:6">
      <c r="F26" s="10"/>
    </row>
    <row r="27" spans="6:6">
      <c r="F27" s="1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7878-C08F-4051-BF13-859942D65B47}">
  <sheetPr codeName="Sheet11"/>
  <dimension ref="A1:D29"/>
  <sheetViews>
    <sheetView workbookViewId="0">
      <selection activeCell="D20" sqref="D20"/>
    </sheetView>
  </sheetViews>
  <sheetFormatPr defaultRowHeight="16.5"/>
  <cols>
    <col min="1" max="1" width="12" bestFit="1" customWidth="1"/>
    <col min="2" max="2" width="11" bestFit="1" customWidth="1"/>
    <col min="3" max="3" width="14.109375" bestFit="1" customWidth="1"/>
    <col min="4" max="4" width="14.21875" customWidth="1"/>
  </cols>
  <sheetData>
    <row r="1" spans="1:4" ht="49.5">
      <c r="A1" s="3" t="s">
        <v>12</v>
      </c>
      <c r="B1" s="2" t="s">
        <v>15</v>
      </c>
      <c r="C1" s="2" t="s">
        <v>16</v>
      </c>
      <c r="D1" s="2" t="s">
        <v>23</v>
      </c>
    </row>
    <row r="2" spans="1:4">
      <c r="A2" s="82" t="s">
        <v>232</v>
      </c>
      <c r="B2" s="3"/>
      <c r="C2" s="3"/>
      <c r="D2" s="3"/>
    </row>
    <row r="3" spans="1:4">
      <c r="A3" s="82">
        <f>'Таблица 10'!A6</f>
        <v>1</v>
      </c>
      <c r="B3" s="3">
        <f>'Таблица 10'!C6</f>
        <v>88</v>
      </c>
      <c r="C3" s="3" cm="1">
        <f t="array" ref="C3">DMStoNum('Таблица 10'!D6)</f>
        <v>12.033333333333333</v>
      </c>
      <c r="D3" s="3">
        <f>'Таблица 10'!K6</f>
        <v>129.55000000000001</v>
      </c>
    </row>
    <row r="4" spans="1:4">
      <c r="A4" s="82">
        <f>'Таблица 10'!A7</f>
        <v>2</v>
      </c>
      <c r="B4" s="3">
        <f>'Таблица 10'!C7</f>
        <v>111</v>
      </c>
      <c r="C4" s="3" cm="1">
        <f t="array" ref="C4">DMStoNum('Таблица 10'!D7)</f>
        <v>78.183333333333337</v>
      </c>
      <c r="D4" s="3">
        <f>'Таблица 10'!K7</f>
        <v>128.54000000000002</v>
      </c>
    </row>
    <row r="5" spans="1:4">
      <c r="A5" s="82">
        <f>'Таблица 10'!A8</f>
        <v>3</v>
      </c>
      <c r="B5" s="3">
        <f>'Таблица 10'!C8</f>
        <v>155</v>
      </c>
      <c r="C5" s="3" cm="1">
        <f t="array" ref="C5">DMStoNum('Таблица 10'!D8)</f>
        <v>136.4</v>
      </c>
      <c r="D5" s="3">
        <f>'Таблица 10'!K8</f>
        <v>128.95000000000002</v>
      </c>
    </row>
    <row r="6" spans="1:4">
      <c r="A6" s="82">
        <f>'Таблица 10'!A9</f>
        <v>4</v>
      </c>
      <c r="B6" s="3">
        <f>'Таблица 10'!C9</f>
        <v>132</v>
      </c>
      <c r="C6" s="3" cm="1">
        <f t="array" ref="C6">DMStoNum('Таблица 10'!D9)</f>
        <v>144.91666666666666</v>
      </c>
      <c r="D6" s="3">
        <f>'Таблица 10'!K9</f>
        <v>128.91</v>
      </c>
    </row>
    <row r="7" spans="1:4">
      <c r="A7" s="82">
        <f>'Таблица 10'!A10</f>
        <v>5</v>
      </c>
      <c r="B7" s="3">
        <f>'Таблица 10'!C10</f>
        <v>141</v>
      </c>
      <c r="C7" s="3" cm="1">
        <f t="array" ref="C7">DMStoNum('Таблица 10'!D10)</f>
        <v>195.45</v>
      </c>
      <c r="D7" s="3">
        <f>'Таблица 10'!K10</f>
        <v>132.32000000000002</v>
      </c>
    </row>
    <row r="8" spans="1:4">
      <c r="A8" s="82" t="s">
        <v>233</v>
      </c>
      <c r="B8" s="3"/>
      <c r="C8" s="3"/>
      <c r="D8" s="3"/>
    </row>
    <row r="9" spans="1:4">
      <c r="A9" s="82">
        <f>'Таблица 10'!$A$12</f>
        <v>6</v>
      </c>
      <c r="B9" s="3">
        <f>'Таблица 10'!C12</f>
        <v>94</v>
      </c>
      <c r="C9" s="3" cm="1">
        <f t="array" ref="C9">DMStoNum('Таблица 10'!D12)</f>
        <v>125.41666666666667</v>
      </c>
      <c r="D9" s="17">
        <f>'Таблица 10'!$K$12</f>
        <v>133.63846884333228</v>
      </c>
    </row>
    <row r="10" spans="1:4">
      <c r="A10" s="82">
        <f>'Таблица 10'!$A$13</f>
        <v>7</v>
      </c>
      <c r="B10" s="3">
        <f>'Таблица 10'!C13</f>
        <v>131</v>
      </c>
      <c r="C10" s="3" cm="1">
        <f t="array" ref="C10">DMStoNum('Таблица 10'!D13)</f>
        <v>181.35</v>
      </c>
      <c r="D10" s="17">
        <f>'Таблица 10'!$K$13</f>
        <v>133.92846884333227</v>
      </c>
    </row>
    <row r="11" spans="1:4">
      <c r="A11" s="82">
        <f>'Таблица 10'!$A$14</f>
        <v>8</v>
      </c>
      <c r="B11" s="3">
        <f>'Таблица 10'!C14</f>
        <v>128</v>
      </c>
      <c r="C11" s="3" cm="1">
        <f t="array" ref="C11">DMStoNum('Таблица 10'!D14)</f>
        <v>231.25</v>
      </c>
      <c r="D11" s="17">
        <f>'Таблица 10'!$K$14</f>
        <v>132.53846884333225</v>
      </c>
    </row>
    <row r="12" spans="1:4">
      <c r="A12" s="82">
        <f>'Таблица 10'!$A$15</f>
        <v>9</v>
      </c>
      <c r="B12" s="3">
        <f>'Таблица 10'!C15</f>
        <v>124</v>
      </c>
      <c r="C12" s="3" cm="1">
        <f t="array" ref="C12">DMStoNum('Таблица 10'!D15)</f>
        <v>337.6</v>
      </c>
      <c r="D12" s="17">
        <f>'Таблица 10'!$K$15</f>
        <v>132.43846884333226</v>
      </c>
    </row>
    <row r="13" spans="1:4">
      <c r="A13" s="82" t="s">
        <v>234</v>
      </c>
      <c r="B13" s="3"/>
      <c r="C13" s="3"/>
      <c r="D13" s="3"/>
    </row>
    <row r="14" spans="1:4">
      <c r="A14" s="82">
        <f>'Таблица 10'!A17</f>
        <v>10</v>
      </c>
      <c r="B14" s="3">
        <f>'Таблица 10'!C17</f>
        <v>87</v>
      </c>
      <c r="C14" s="3" cm="1">
        <f t="array" ref="C14">DMStoNum('Таблица 10'!D17)</f>
        <v>104.26666666666667</v>
      </c>
      <c r="D14" s="17">
        <f>'Таблица 10'!K17</f>
        <v>131.86169382665932</v>
      </c>
    </row>
    <row r="15" spans="1:4">
      <c r="A15" s="82">
        <f>'Таблица 10'!A18</f>
        <v>11</v>
      </c>
      <c r="B15" s="3">
        <f>'Таблица 10'!C18</f>
        <v>132</v>
      </c>
      <c r="C15" s="3" cm="1">
        <f t="array" ref="C15">DMStoNum('Таблица 10'!D18)</f>
        <v>253.15</v>
      </c>
      <c r="D15" s="17">
        <f>'Таблица 10'!K18</f>
        <v>131.67169382665932</v>
      </c>
    </row>
    <row r="16" spans="1:4">
      <c r="A16" s="82">
        <f>'Таблица 10'!A19</f>
        <v>12</v>
      </c>
      <c r="B16" s="3">
        <f>'Таблица 10'!C19</f>
        <v>127</v>
      </c>
      <c r="C16" s="3" cm="1">
        <f t="array" ref="C16">DMStoNum('Таблица 10'!D19)</f>
        <v>277.8</v>
      </c>
      <c r="D16" s="17">
        <f>'Таблица 10'!K19</f>
        <v>130.68169382665931</v>
      </c>
    </row>
    <row r="17" spans="1:4">
      <c r="A17" s="82">
        <f>'Таблица 10'!A20</f>
        <v>13</v>
      </c>
      <c r="B17" s="3">
        <f>'Таблица 10'!C20</f>
        <v>53</v>
      </c>
      <c r="C17" s="3" cm="1">
        <f t="array" ref="C17">DMStoNum('Таблица 10'!D20)</f>
        <v>279.66666666666669</v>
      </c>
      <c r="D17" s="17">
        <f>'Таблица 10'!K20</f>
        <v>132.18169382665931</v>
      </c>
    </row>
    <row r="18" spans="1:4">
      <c r="A18" s="82" t="s">
        <v>235</v>
      </c>
      <c r="B18" s="3"/>
      <c r="C18" s="3"/>
      <c r="D18" s="3"/>
    </row>
    <row r="19" spans="1:4">
      <c r="A19" s="82">
        <f>'Таблица 10'!A22</f>
        <v>14</v>
      </c>
      <c r="B19" s="3">
        <f>'Таблица 10'!C22</f>
        <v>114</v>
      </c>
      <c r="C19" s="3" cm="1">
        <f t="array" ref="C19">DMStoNum('Таблица 10'!D22)</f>
        <v>46.983333333333334</v>
      </c>
      <c r="D19" s="17">
        <f>'Таблица 10'!K22</f>
        <v>131.59875605300547</v>
      </c>
    </row>
    <row r="20" spans="1:4">
      <c r="A20" s="82">
        <f>'Таблица 10'!A23</f>
        <v>15</v>
      </c>
      <c r="B20" s="3">
        <f>'Таблица 10'!C23</f>
        <v>82</v>
      </c>
      <c r="C20" s="3" cm="1">
        <f t="array" ref="C20">DMStoNum('Таблица 10'!D23)</f>
        <v>101.45</v>
      </c>
      <c r="D20" s="17">
        <f>'Таблица 10'!K23</f>
        <v>131.92875605300546</v>
      </c>
    </row>
    <row r="21" spans="1:4">
      <c r="A21" s="82">
        <f>'Таблица 10'!A24</f>
        <v>16</v>
      </c>
      <c r="B21" s="3">
        <f>'Таблица 10'!C24</f>
        <v>84.5</v>
      </c>
      <c r="C21" s="3" cm="1">
        <f t="array" ref="C21">DMStoNum('Таблица 10'!D24)</f>
        <v>265.41666666666669</v>
      </c>
      <c r="D21" s="17">
        <f>'Таблица 10'!K24</f>
        <v>133.77875605300548</v>
      </c>
    </row>
    <row r="22" spans="1:4">
      <c r="A22" s="82">
        <f>'Таблица 10'!A25</f>
        <v>17</v>
      </c>
      <c r="B22" s="3">
        <f>'Таблица 10'!C25</f>
        <v>81.5</v>
      </c>
      <c r="C22" s="3" cm="1">
        <f t="array" ref="C22">DMStoNum('Таблица 10'!D25)</f>
        <v>317.43333333333334</v>
      </c>
      <c r="D22" s="17">
        <f>'Таблица 10'!K25</f>
        <v>133.68875605300548</v>
      </c>
    </row>
    <row r="23" spans="1:4">
      <c r="A23" s="82" t="s">
        <v>236</v>
      </c>
      <c r="B23" s="3"/>
      <c r="C23" s="3"/>
      <c r="D23" s="3"/>
    </row>
    <row r="24" spans="1:4">
      <c r="A24" s="82">
        <f>'Таблица 10'!A27</f>
        <v>18</v>
      </c>
      <c r="B24" s="3">
        <f>'Таблица 10'!C27</f>
        <v>54</v>
      </c>
      <c r="C24" s="3" cm="1">
        <f t="array" ref="C24">DMStoNum('Таблица 10'!D27)</f>
        <v>12.95</v>
      </c>
      <c r="D24" s="3">
        <f>'Таблица 10'!K27</f>
        <v>133.29</v>
      </c>
    </row>
    <row r="25" spans="1:4">
      <c r="A25" s="82">
        <f>'Таблица 10'!A28</f>
        <v>19</v>
      </c>
      <c r="B25" s="3">
        <f>'Таблица 10'!C28</f>
        <v>123</v>
      </c>
      <c r="C25" s="3" cm="1">
        <f t="array" ref="C25">DMStoNum('Таблица 10'!D28)</f>
        <v>178.01666666666668</v>
      </c>
      <c r="D25" s="3">
        <f>'Таблица 10'!K28</f>
        <v>127.87</v>
      </c>
    </row>
    <row r="26" spans="1:4">
      <c r="A26" s="82">
        <f>'Таблица 10'!A29</f>
        <v>20</v>
      </c>
      <c r="B26" s="3">
        <f>'Таблица 10'!C29</f>
        <v>90</v>
      </c>
      <c r="C26" s="3" cm="1">
        <f t="array" ref="C26">DMStoNum('Таблица 10'!D29)</f>
        <v>178.55</v>
      </c>
      <c r="D26" s="3">
        <f>'Таблица 10'!K29</f>
        <v>127.9</v>
      </c>
    </row>
    <row r="27" spans="1:4">
      <c r="A27" s="82">
        <f>'Таблица 10'!A30</f>
        <v>21</v>
      </c>
      <c r="B27" s="3">
        <f>'Таблица 10'!C30</f>
        <v>148</v>
      </c>
      <c r="C27" s="3" cm="1">
        <f t="array" ref="C27">DMStoNum('Таблица 10'!D30)</f>
        <v>234.93333333333334</v>
      </c>
      <c r="D27" s="3">
        <f>'Таблица 10'!K30</f>
        <v>128.19</v>
      </c>
    </row>
    <row r="28" spans="1:4">
      <c r="A28" s="82">
        <f>'Таблица 10'!A31</f>
        <v>22</v>
      </c>
      <c r="B28" s="3">
        <f>'Таблица 10'!C31</f>
        <v>76.5</v>
      </c>
      <c r="C28" s="3" cm="1">
        <f t="array" ref="C28">DMStoNum('Таблица 10'!D31)</f>
        <v>275.85000000000002</v>
      </c>
      <c r="D28" s="3">
        <f>'Таблица 10'!K31</f>
        <v>131.19</v>
      </c>
    </row>
    <row r="29" spans="1:4">
      <c r="A29" s="82">
        <f>'Таблица 10'!A32</f>
        <v>23</v>
      </c>
      <c r="B29" s="3">
        <f>'Таблица 10'!C32</f>
        <v>96</v>
      </c>
      <c r="C29" s="3" cm="1">
        <f t="array" ref="C29">DMStoNum('Таблица 10'!D32)</f>
        <v>334.76666666666665</v>
      </c>
      <c r="D29" s="3">
        <f>'Таблица 10'!K32</f>
        <v>133.29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849ED-C57B-4144-B56D-35F6902B26EA}">
  <sheetPr codeName="Sheet12"/>
  <dimension ref="A1:D29"/>
  <sheetViews>
    <sheetView workbookViewId="0">
      <selection activeCell="B2" sqref="B2"/>
    </sheetView>
  </sheetViews>
  <sheetFormatPr defaultRowHeight="16.5"/>
  <sheetData>
    <row r="1" spans="1:4">
      <c r="A1" t="s">
        <v>12</v>
      </c>
      <c r="B1" t="s">
        <v>237</v>
      </c>
      <c r="C1" t="s">
        <v>238</v>
      </c>
      <c r="D1" t="s">
        <v>239</v>
      </c>
    </row>
    <row r="2" spans="1:4">
      <c r="A2" s="82" t="s">
        <v>230</v>
      </c>
    </row>
    <row r="3" spans="1:4">
      <c r="A3" s="82">
        <f>'Таблица 10'!A6</f>
        <v>1</v>
      </c>
    </row>
    <row r="4" spans="1:4">
      <c r="A4" s="82">
        <f>'Таблица 10'!A7</f>
        <v>2</v>
      </c>
    </row>
    <row r="5" spans="1:4">
      <c r="A5" s="82">
        <f>'Таблица 10'!A8</f>
        <v>3</v>
      </c>
    </row>
    <row r="6" spans="1:4">
      <c r="A6" s="82">
        <f>'Таблица 10'!A9</f>
        <v>4</v>
      </c>
    </row>
    <row r="7" spans="1:4">
      <c r="A7" s="82">
        <f>'Таблица 10'!A10</f>
        <v>5</v>
      </c>
    </row>
    <row r="8" spans="1:4">
      <c r="A8" s="82" t="s">
        <v>240</v>
      </c>
    </row>
    <row r="9" spans="1:4">
      <c r="A9" s="82">
        <f>'Таблица 10'!$A$12</f>
        <v>6</v>
      </c>
    </row>
    <row r="10" spans="1:4">
      <c r="A10" s="82">
        <f>'Таблица 10'!$A$13</f>
        <v>7</v>
      </c>
    </row>
    <row r="11" spans="1:4">
      <c r="A11" s="82">
        <f>'Таблица 10'!$A$14</f>
        <v>8</v>
      </c>
    </row>
    <row r="12" spans="1:4">
      <c r="A12" s="82">
        <f>'Таблица 10'!$A$15</f>
        <v>9</v>
      </c>
    </row>
    <row r="13" spans="1:4">
      <c r="A13" s="82" t="s">
        <v>241</v>
      </c>
    </row>
    <row r="14" spans="1:4">
      <c r="A14" s="82">
        <f>'Таблица 10'!A17</f>
        <v>10</v>
      </c>
    </row>
    <row r="15" spans="1:4">
      <c r="A15" s="82">
        <f>'Таблица 10'!A18</f>
        <v>11</v>
      </c>
    </row>
    <row r="16" spans="1:4">
      <c r="A16" s="82">
        <f>'Таблица 10'!A19</f>
        <v>12</v>
      </c>
    </row>
    <row r="17" spans="1:1">
      <c r="A17" s="82">
        <f>'Таблица 10'!A20</f>
        <v>13</v>
      </c>
    </row>
    <row r="18" spans="1:1">
      <c r="A18" s="82" t="s">
        <v>242</v>
      </c>
    </row>
    <row r="19" spans="1:1">
      <c r="A19" s="82">
        <f>'Таблица 10'!A22</f>
        <v>14</v>
      </c>
    </row>
    <row r="20" spans="1:1">
      <c r="A20" s="82">
        <f>'Таблица 10'!A23</f>
        <v>15</v>
      </c>
    </row>
    <row r="21" spans="1:1">
      <c r="A21" s="82">
        <f>'Таблица 10'!A24</f>
        <v>16</v>
      </c>
    </row>
    <row r="22" spans="1:1">
      <c r="A22" s="82">
        <f>'Таблица 10'!A25</f>
        <v>17</v>
      </c>
    </row>
    <row r="23" spans="1:1">
      <c r="A23" s="82" t="s">
        <v>231</v>
      </c>
    </row>
    <row r="24" spans="1:1">
      <c r="A24" s="82">
        <f>'Таблица 10'!A27</f>
        <v>18</v>
      </c>
    </row>
    <row r="25" spans="1:1">
      <c r="A25" s="82">
        <f>'Таблица 10'!A28</f>
        <v>19</v>
      </c>
    </row>
    <row r="26" spans="1:1">
      <c r="A26" s="82">
        <f>'Таблица 10'!A29</f>
        <v>20</v>
      </c>
    </row>
    <row r="27" spans="1:1">
      <c r="A27" s="82">
        <f>'Таблица 10'!A30</f>
        <v>21</v>
      </c>
    </row>
    <row r="28" spans="1:1">
      <c r="A28" s="82">
        <f>'Таблица 10'!A31</f>
        <v>22</v>
      </c>
    </row>
    <row r="29" spans="1:1">
      <c r="A29" s="82">
        <f>'Таблица 10'!A32</f>
        <v>23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2E5A7-81AF-406F-8C26-405642AB64FF}">
  <sheetPr codeName="Sheet9"/>
  <dimension ref="A1:J12"/>
  <sheetViews>
    <sheetView zoomScaleNormal="100" workbookViewId="0">
      <selection activeCell="B11" sqref="B11"/>
    </sheetView>
  </sheetViews>
  <sheetFormatPr defaultColWidth="8.88671875" defaultRowHeight="16.5"/>
  <cols>
    <col min="1" max="1" width="11.6640625" style="3" customWidth="1"/>
    <col min="2" max="2" width="9.88671875" style="3" bestFit="1" customWidth="1"/>
    <col min="3" max="3" width="11" style="3" bestFit="1" customWidth="1"/>
    <col min="4" max="4" width="8.88671875" style="3"/>
    <col min="5" max="6" width="6.5546875" style="3" bestFit="1" customWidth="1"/>
    <col min="7" max="7" width="13.33203125" style="3" bestFit="1" customWidth="1"/>
    <col min="8" max="9" width="6.5546875" style="3" bestFit="1" customWidth="1"/>
    <col min="10" max="10" width="12.109375" style="3" bestFit="1" customWidth="1"/>
    <col min="11" max="16384" width="8.88671875" style="3"/>
  </cols>
  <sheetData>
    <row r="1" spans="1:10" customFormat="1" ht="18.75">
      <c r="A1" s="35" t="s">
        <v>0</v>
      </c>
      <c r="B1" s="35" t="s">
        <v>93</v>
      </c>
      <c r="C1" s="35" t="s">
        <v>94</v>
      </c>
      <c r="D1" s="35" t="s">
        <v>95</v>
      </c>
      <c r="E1" s="35" t="s">
        <v>96</v>
      </c>
      <c r="F1" s="35" t="s">
        <v>97</v>
      </c>
      <c r="G1" s="35" t="s">
        <v>98</v>
      </c>
      <c r="H1" s="35" t="s">
        <v>99</v>
      </c>
      <c r="I1" s="35" t="s">
        <v>100</v>
      </c>
      <c r="J1" s="35" t="s">
        <v>101</v>
      </c>
    </row>
    <row r="2" spans="1:10" customFormat="1" ht="34.5">
      <c r="A2" s="14" t="s">
        <v>37</v>
      </c>
      <c r="B2" s="62">
        <v>105.21899999999999</v>
      </c>
      <c r="C2" s="62">
        <v>92.042000000000002</v>
      </c>
      <c r="D2" s="62" t="s">
        <v>102</v>
      </c>
      <c r="E2" s="62">
        <v>950</v>
      </c>
      <c r="F2" s="62">
        <v>100</v>
      </c>
      <c r="G2" s="62" t="s">
        <v>103</v>
      </c>
      <c r="H2" s="62">
        <v>800</v>
      </c>
      <c r="I2" s="62">
        <v>120</v>
      </c>
      <c r="J2" s="62" t="s">
        <v>104</v>
      </c>
    </row>
    <row r="3" spans="1:10" customFormat="1" ht="18.75">
      <c r="A3" s="15" t="s">
        <v>36</v>
      </c>
      <c r="B3" s="15" t="s">
        <v>36</v>
      </c>
      <c r="C3" s="15" t="s">
        <v>36</v>
      </c>
      <c r="D3" s="15" t="s">
        <v>36</v>
      </c>
      <c r="E3" s="15" t="s">
        <v>36</v>
      </c>
      <c r="F3" s="15" t="s">
        <v>36</v>
      </c>
      <c r="G3" s="15" t="s">
        <v>36</v>
      </c>
      <c r="H3" s="15" t="s">
        <v>36</v>
      </c>
      <c r="I3" s="15" t="s">
        <v>36</v>
      </c>
      <c r="J3" s="15" t="s">
        <v>36</v>
      </c>
    </row>
    <row r="4" spans="1:10">
      <c r="A4" s="1">
        <v>20</v>
      </c>
      <c r="B4" s="3">
        <v>125.28400000000001</v>
      </c>
      <c r="C4" s="3">
        <v>112.039</v>
      </c>
      <c r="D4" s="3" t="s">
        <v>176</v>
      </c>
      <c r="E4" s="3">
        <v>500</v>
      </c>
      <c r="F4" s="3">
        <v>160</v>
      </c>
      <c r="G4" s="3" t="s">
        <v>177</v>
      </c>
      <c r="H4" s="3">
        <v>950</v>
      </c>
      <c r="I4" s="3">
        <v>100</v>
      </c>
      <c r="J4" s="3" t="s">
        <v>178</v>
      </c>
    </row>
    <row r="5" spans="1:10">
      <c r="A5" s="3">
        <v>22</v>
      </c>
      <c r="B5" s="3">
        <v>105.21899999999999</v>
      </c>
      <c r="C5" s="3">
        <v>92.042000000000002</v>
      </c>
      <c r="D5" s="3" t="s">
        <v>102</v>
      </c>
      <c r="E5" s="3">
        <v>950</v>
      </c>
      <c r="F5" s="3">
        <v>100</v>
      </c>
      <c r="G5" s="3" t="s">
        <v>103</v>
      </c>
      <c r="H5" s="3">
        <v>800</v>
      </c>
      <c r="I5" s="3">
        <v>120</v>
      </c>
      <c r="J5" s="3" t="s">
        <v>104</v>
      </c>
    </row>
    <row r="6" spans="1:10">
      <c r="A6" s="3">
        <v>23</v>
      </c>
      <c r="B6" s="3">
        <v>112.748</v>
      </c>
      <c r="C6" s="3">
        <v>99.501000000000005</v>
      </c>
      <c r="D6" s="3" t="s">
        <v>111</v>
      </c>
      <c r="E6" s="3">
        <v>1000</v>
      </c>
      <c r="F6" s="3">
        <v>100</v>
      </c>
      <c r="G6" s="3" t="s">
        <v>112</v>
      </c>
      <c r="H6" s="3">
        <v>550</v>
      </c>
      <c r="I6" s="3">
        <v>160</v>
      </c>
      <c r="J6" s="3" t="s">
        <v>113</v>
      </c>
    </row>
    <row r="7" spans="1:10">
      <c r="A7" s="3">
        <v>30</v>
      </c>
      <c r="B7" s="3">
        <v>82.590999999999994</v>
      </c>
      <c r="C7" s="3">
        <v>69.352000000000004</v>
      </c>
      <c r="D7" s="3" t="s">
        <v>108</v>
      </c>
      <c r="E7" s="3">
        <v>1100</v>
      </c>
      <c r="F7" s="3">
        <v>100</v>
      </c>
      <c r="G7" s="3" t="s">
        <v>109</v>
      </c>
      <c r="H7" s="3">
        <v>850</v>
      </c>
      <c r="I7" s="3">
        <v>120</v>
      </c>
      <c r="J7" s="3" t="s">
        <v>110</v>
      </c>
    </row>
    <row r="8" spans="1:10">
      <c r="A8" s="1">
        <v>31</v>
      </c>
      <c r="B8" s="3">
        <v>88.108999999999995</v>
      </c>
      <c r="C8" s="3">
        <v>74.942999999999998</v>
      </c>
      <c r="D8" s="3" t="s">
        <v>173</v>
      </c>
      <c r="E8" s="3">
        <v>400</v>
      </c>
      <c r="F8" s="3">
        <v>160</v>
      </c>
      <c r="G8" s="3" t="s">
        <v>174</v>
      </c>
      <c r="H8" s="3">
        <v>850</v>
      </c>
      <c r="I8" s="3">
        <v>100</v>
      </c>
      <c r="J8" s="3" t="s">
        <v>175</v>
      </c>
    </row>
    <row r="9" spans="1:10">
      <c r="A9" s="3">
        <v>33</v>
      </c>
      <c r="B9" s="3">
        <v>116.28700000000001</v>
      </c>
      <c r="C9" s="3">
        <v>103.045</v>
      </c>
      <c r="D9" s="3" t="s">
        <v>105</v>
      </c>
      <c r="E9" s="3">
        <v>1250</v>
      </c>
      <c r="F9" s="3">
        <v>80</v>
      </c>
      <c r="G9" s="3" t="s">
        <v>106</v>
      </c>
      <c r="H9" s="3">
        <v>700</v>
      </c>
      <c r="I9" s="3">
        <v>120</v>
      </c>
      <c r="J9" s="3" t="s">
        <v>107</v>
      </c>
    </row>
    <row r="10" spans="1:10">
      <c r="A10" s="3">
        <v>24</v>
      </c>
      <c r="B10" s="3">
        <v>88.281000000000006</v>
      </c>
      <c r="C10" s="3">
        <v>75.108000000000004</v>
      </c>
      <c r="D10" s="3" t="s">
        <v>180</v>
      </c>
      <c r="E10" s="3">
        <v>1100</v>
      </c>
      <c r="F10" s="3">
        <v>80</v>
      </c>
      <c r="G10" s="3" t="s">
        <v>181</v>
      </c>
      <c r="H10" s="3">
        <v>650</v>
      </c>
      <c r="I10" s="3">
        <v>140</v>
      </c>
      <c r="J10" s="3" t="s">
        <v>182</v>
      </c>
    </row>
    <row r="12" spans="1:10">
      <c r="A12" s="63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E3444-E8CF-4239-AEC6-518158AD7254}">
  <sheetPr codeName="Sheet8"/>
  <dimension ref="A1:O168"/>
  <sheetViews>
    <sheetView zoomScaleNormal="100" workbookViewId="0">
      <pane xSplit="2" ySplit="3" topLeftCell="I87" activePane="bottomRight" state="frozen"/>
      <selection pane="topRight" activeCell="C1" sqref="C1"/>
      <selection pane="bottomLeft" activeCell="A4" sqref="A4"/>
      <selection pane="bottomRight" activeCell="B98" sqref="B98"/>
    </sheetView>
  </sheetViews>
  <sheetFormatPr defaultColWidth="8.6640625" defaultRowHeight="16.5"/>
  <cols>
    <col min="9" max="9" width="10.33203125" customWidth="1"/>
    <col min="10" max="10" width="12.5546875" customWidth="1"/>
    <col min="11" max="11" width="8.88671875"/>
    <col min="12" max="12" width="12" customWidth="1"/>
  </cols>
  <sheetData>
    <row r="1" spans="1:14" s="2" customFormat="1" ht="32.25" customHeight="1">
      <c r="A1" s="88" t="s">
        <v>129</v>
      </c>
      <c r="B1" s="88" t="s">
        <v>130</v>
      </c>
      <c r="C1" s="91" t="s">
        <v>131</v>
      </c>
      <c r="D1" s="97"/>
      <c r="E1" s="92"/>
      <c r="F1" s="91" t="s">
        <v>135</v>
      </c>
      <c r="G1" s="92"/>
      <c r="H1" s="91" t="s">
        <v>137</v>
      </c>
      <c r="I1" s="92"/>
      <c r="J1" s="88" t="s">
        <v>138</v>
      </c>
      <c r="K1" s="88" t="s">
        <v>139</v>
      </c>
      <c r="L1" s="88" t="s">
        <v>152</v>
      </c>
    </row>
    <row r="2" spans="1:14" s="2" customFormat="1" ht="33">
      <c r="A2" s="90"/>
      <c r="B2" s="90"/>
      <c r="C2" s="44" t="s">
        <v>133</v>
      </c>
      <c r="D2" s="44" t="s">
        <v>132</v>
      </c>
      <c r="E2" s="44" t="s">
        <v>134</v>
      </c>
      <c r="F2" s="2" t="s">
        <v>136</v>
      </c>
      <c r="G2" s="2" t="s">
        <v>56</v>
      </c>
      <c r="H2" s="2" t="s">
        <v>136</v>
      </c>
      <c r="I2" s="2" t="s">
        <v>56</v>
      </c>
      <c r="J2" s="90"/>
      <c r="K2" s="90"/>
      <c r="L2" s="90"/>
    </row>
    <row r="3" spans="1:14" s="45" customFormat="1">
      <c r="A3" s="45">
        <v>1</v>
      </c>
      <c r="B3" s="45">
        <v>2</v>
      </c>
      <c r="C3" s="45">
        <v>3</v>
      </c>
      <c r="D3" s="45">
        <v>4</v>
      </c>
      <c r="E3" s="45">
        <v>5</v>
      </c>
      <c r="F3" s="45">
        <v>6</v>
      </c>
      <c r="G3" s="45">
        <v>7</v>
      </c>
      <c r="H3" s="45">
        <v>8</v>
      </c>
      <c r="I3" s="45">
        <v>9</v>
      </c>
      <c r="J3" s="45">
        <v>10</v>
      </c>
      <c r="K3" s="45">
        <v>11</v>
      </c>
      <c r="L3" s="45">
        <v>12</v>
      </c>
    </row>
    <row r="4" spans="1:14" ht="18.75">
      <c r="A4" s="102">
        <v>1</v>
      </c>
      <c r="B4" s="3" t="s">
        <v>141</v>
      </c>
      <c r="C4" s="46">
        <v>1463</v>
      </c>
      <c r="D4" s="46"/>
      <c r="E4" s="46"/>
      <c r="F4" s="46"/>
      <c r="G4" s="46"/>
      <c r="H4" s="3"/>
      <c r="I4" s="46"/>
      <c r="J4" s="3"/>
      <c r="K4" s="50">
        <f>'Исходные Данные 2'!B2</f>
        <v>105.21899999999999</v>
      </c>
    </row>
    <row r="5" spans="1:14" ht="18.75">
      <c r="A5" s="103"/>
      <c r="B5" s="3"/>
      <c r="C5" s="46">
        <v>6250</v>
      </c>
      <c r="D5" s="46"/>
      <c r="E5" s="46"/>
      <c r="F5" s="46"/>
      <c r="G5" s="46"/>
      <c r="H5" s="46">
        <v>451</v>
      </c>
      <c r="I5" s="46"/>
      <c r="J5" s="3"/>
      <c r="K5" s="51">
        <f>'Таблица 12'!H7</f>
        <v>452</v>
      </c>
    </row>
    <row r="6" spans="1:14" ht="18.75">
      <c r="A6" s="103"/>
      <c r="B6" s="3" t="s">
        <v>140</v>
      </c>
      <c r="C6" s="46"/>
      <c r="D6" s="46">
        <v>1012</v>
      </c>
      <c r="E6" s="46"/>
      <c r="F6" s="46">
        <v>451</v>
      </c>
      <c r="G6" s="46"/>
      <c r="H6" s="49">
        <f>'Таблица 12 Поправки'!D1</f>
        <v>1</v>
      </c>
      <c r="I6" s="46"/>
      <c r="J6" s="3"/>
      <c r="K6" s="51">
        <f>K4+K5/1000</f>
        <v>105.67099999999999</v>
      </c>
      <c r="N6" s="56"/>
    </row>
    <row r="7" spans="1:14" ht="18.75">
      <c r="A7" s="104"/>
      <c r="B7" s="3"/>
      <c r="C7" s="46"/>
      <c r="D7" s="46">
        <v>5799</v>
      </c>
      <c r="E7" s="46"/>
      <c r="F7" s="46">
        <v>451</v>
      </c>
      <c r="G7" s="46"/>
      <c r="H7" s="52">
        <f>H5+H6</f>
        <v>452</v>
      </c>
      <c r="I7" s="46"/>
      <c r="J7" s="3"/>
      <c r="K7" s="3"/>
    </row>
    <row r="8" spans="1:14" ht="18.75">
      <c r="A8" s="102">
        <v>2</v>
      </c>
      <c r="B8" s="3" t="s">
        <v>140</v>
      </c>
      <c r="C8" s="46">
        <v>278</v>
      </c>
      <c r="D8" s="46"/>
      <c r="E8" s="46"/>
      <c r="F8" s="46"/>
      <c r="G8" s="46"/>
      <c r="H8" s="46"/>
      <c r="I8" s="46"/>
      <c r="J8" s="3"/>
      <c r="K8" s="51">
        <f>K6</f>
        <v>105.67099999999999</v>
      </c>
    </row>
    <row r="9" spans="1:14" ht="18.75">
      <c r="A9" s="103"/>
      <c r="B9" s="3"/>
      <c r="C9" s="46">
        <v>5068</v>
      </c>
      <c r="D9" s="46"/>
      <c r="E9" s="46"/>
      <c r="F9" s="46"/>
      <c r="G9" s="46"/>
      <c r="H9" s="46"/>
      <c r="I9" s="46"/>
      <c r="J9" s="3"/>
      <c r="K9" s="51">
        <f>I12</f>
        <v>2538</v>
      </c>
    </row>
    <row r="10" spans="1:14" ht="18.75">
      <c r="A10" s="103"/>
      <c r="B10" s="3" t="s">
        <v>142</v>
      </c>
      <c r="C10" s="46"/>
      <c r="D10" s="46">
        <v>2820</v>
      </c>
      <c r="E10" s="46"/>
      <c r="F10" s="46"/>
      <c r="G10" s="46">
        <v>2542</v>
      </c>
      <c r="H10" s="46"/>
      <c r="I10" s="46">
        <v>2540</v>
      </c>
      <c r="J10" s="3"/>
      <c r="K10" s="51">
        <f>K8-K9/1000</f>
        <v>103.133</v>
      </c>
    </row>
    <row r="11" spans="1:14" ht="18.75">
      <c r="A11" s="104"/>
      <c r="B11" s="3"/>
      <c r="C11" s="46"/>
      <c r="D11" s="46">
        <v>7604</v>
      </c>
      <c r="E11" s="46"/>
      <c r="F11" s="46"/>
      <c r="G11" s="46">
        <v>2539</v>
      </c>
      <c r="H11" s="46"/>
      <c r="I11" s="49">
        <f>'Таблица 12 Поправки'!D2</f>
        <v>2</v>
      </c>
      <c r="J11" s="3"/>
      <c r="K11" s="3"/>
    </row>
    <row r="12" spans="1:14" ht="18.75">
      <c r="A12" s="102">
        <v>3</v>
      </c>
      <c r="B12" s="3" t="s">
        <v>142</v>
      </c>
      <c r="C12" s="46">
        <v>756</v>
      </c>
      <c r="D12" s="46"/>
      <c r="E12" s="46"/>
      <c r="F12" s="46"/>
      <c r="G12" s="46"/>
      <c r="H12" s="46"/>
      <c r="I12" s="52">
        <f>I10-I11</f>
        <v>2538</v>
      </c>
      <c r="J12" s="3"/>
      <c r="K12" s="51">
        <f>K10</f>
        <v>103.133</v>
      </c>
    </row>
    <row r="13" spans="1:14" ht="18.75">
      <c r="A13" s="103"/>
      <c r="B13" s="3"/>
      <c r="C13" s="46">
        <v>5542</v>
      </c>
      <c r="D13" s="46"/>
      <c r="E13" s="46"/>
      <c r="F13" s="46"/>
      <c r="G13" s="46"/>
      <c r="H13" s="46"/>
      <c r="I13" s="46"/>
      <c r="J13" s="3"/>
      <c r="K13" s="51">
        <f>I16</f>
        <v>2167</v>
      </c>
    </row>
    <row r="14" spans="1:14" ht="18.75">
      <c r="A14" s="103"/>
      <c r="B14" s="3" t="s">
        <v>143</v>
      </c>
      <c r="C14" s="46"/>
      <c r="D14" s="46">
        <v>2923</v>
      </c>
      <c r="E14" s="46"/>
      <c r="F14" s="46"/>
      <c r="G14" s="46">
        <v>2167</v>
      </c>
      <c r="H14" s="46"/>
      <c r="I14" s="46">
        <v>2168</v>
      </c>
      <c r="J14" s="3"/>
      <c r="K14" s="51">
        <f>K12-K13/1000</f>
        <v>100.96599999999999</v>
      </c>
    </row>
    <row r="15" spans="1:14" ht="18.75">
      <c r="A15" s="104"/>
      <c r="B15" s="3"/>
      <c r="C15" s="46"/>
      <c r="D15" s="46">
        <v>7710</v>
      </c>
      <c r="E15" s="46"/>
      <c r="F15" s="46"/>
      <c r="G15" s="46">
        <v>2168</v>
      </c>
      <c r="H15" s="46"/>
      <c r="I15" s="49">
        <f>'Таблица 12 Поправки'!D3</f>
        <v>1</v>
      </c>
      <c r="J15" s="3"/>
      <c r="K15" s="3"/>
    </row>
    <row r="16" spans="1:14" ht="18.75">
      <c r="A16" s="102">
        <v>4</v>
      </c>
      <c r="B16" s="3" t="s">
        <v>143</v>
      </c>
      <c r="C16" s="46">
        <v>337</v>
      </c>
      <c r="D16" s="46"/>
      <c r="E16" s="46"/>
      <c r="F16" s="46"/>
      <c r="G16" s="46"/>
      <c r="H16" s="46"/>
      <c r="I16" s="52">
        <f>I14-I15</f>
        <v>2167</v>
      </c>
      <c r="J16" s="3"/>
      <c r="K16" s="51">
        <f>K14</f>
        <v>100.96599999999999</v>
      </c>
    </row>
    <row r="17" spans="1:15" ht="18.75">
      <c r="A17" s="103"/>
      <c r="B17" s="3"/>
      <c r="C17" s="46">
        <v>5123</v>
      </c>
      <c r="D17" s="46"/>
      <c r="E17" s="46"/>
      <c r="F17" s="46"/>
      <c r="G17" s="46"/>
      <c r="H17" s="46"/>
      <c r="I17" s="46"/>
      <c r="J17" s="3"/>
      <c r="K17" s="51">
        <f>I20</f>
        <v>2622</v>
      </c>
    </row>
    <row r="18" spans="1:15" ht="18.75">
      <c r="A18" s="103"/>
      <c r="B18" s="3" t="s">
        <v>144</v>
      </c>
      <c r="C18" s="46"/>
      <c r="D18" s="46">
        <v>2962</v>
      </c>
      <c r="E18" s="46"/>
      <c r="F18" s="46"/>
      <c r="G18" s="46">
        <v>2625</v>
      </c>
      <c r="H18" s="46"/>
      <c r="I18" s="46">
        <v>2624</v>
      </c>
      <c r="J18" s="3"/>
      <c r="K18" s="51">
        <f>K16-K17/1000</f>
        <v>98.343999999999994</v>
      </c>
    </row>
    <row r="19" spans="1:15" ht="18.75">
      <c r="A19" s="104"/>
      <c r="B19" s="3"/>
      <c r="C19" s="46"/>
      <c r="D19" s="46">
        <v>7746</v>
      </c>
      <c r="E19" s="46"/>
      <c r="F19" s="46"/>
      <c r="G19" s="46">
        <v>2623</v>
      </c>
      <c r="H19" s="46"/>
      <c r="I19" s="49">
        <f>'Таблица 12 Поправки'!D4</f>
        <v>2</v>
      </c>
      <c r="J19" s="3"/>
      <c r="K19" s="3"/>
    </row>
    <row r="20" spans="1:15" ht="18.75">
      <c r="A20" s="102">
        <v>5</v>
      </c>
      <c r="B20" s="3" t="s">
        <v>144</v>
      </c>
      <c r="C20" s="46">
        <v>579</v>
      </c>
      <c r="D20" s="46"/>
      <c r="E20" s="46"/>
      <c r="F20" s="46"/>
      <c r="G20" s="46"/>
      <c r="H20" s="46"/>
      <c r="I20" s="52">
        <f>I18-I19</f>
        <v>2622</v>
      </c>
      <c r="J20" s="51">
        <f>K20+C20/1000</f>
        <v>98.922999999999988</v>
      </c>
      <c r="K20" s="51">
        <f>K18</f>
        <v>98.343999999999994</v>
      </c>
    </row>
    <row r="21" spans="1:15" ht="18.75">
      <c r="A21" s="103"/>
      <c r="B21" s="3"/>
      <c r="C21" s="46">
        <v>5364</v>
      </c>
      <c r="D21" s="46"/>
      <c r="E21" s="46"/>
      <c r="F21" s="46"/>
      <c r="G21" s="46"/>
      <c r="H21" s="46"/>
      <c r="I21" s="46"/>
      <c r="J21" s="53">
        <f>(J20+J22)/2</f>
        <v>98.923999999999992</v>
      </c>
      <c r="K21" s="51">
        <f>J21-E22/1000</f>
        <v>96.286999999999992</v>
      </c>
    </row>
    <row r="22" spans="1:15" ht="18.75">
      <c r="A22" s="103"/>
      <c r="B22" s="3">
        <v>35</v>
      </c>
      <c r="C22" s="46"/>
      <c r="E22" s="46">
        <v>2637</v>
      </c>
      <c r="F22" s="46"/>
      <c r="G22" s="46"/>
      <c r="H22" s="46"/>
      <c r="I22" s="46">
        <v>1946</v>
      </c>
      <c r="J22" s="51">
        <f>K22+D23/1000</f>
        <v>98.924999999999997</v>
      </c>
      <c r="K22" s="51">
        <f>K20-I24/1000</f>
        <v>96.399000000000001</v>
      </c>
    </row>
    <row r="23" spans="1:15" ht="18.75">
      <c r="A23" s="103"/>
      <c r="B23" s="3" t="s">
        <v>145</v>
      </c>
      <c r="C23" s="46"/>
      <c r="D23" s="46">
        <v>2526</v>
      </c>
      <c r="E23" s="46"/>
      <c r="F23" s="46"/>
      <c r="G23" s="46">
        <v>1947</v>
      </c>
      <c r="H23" s="46"/>
      <c r="I23" s="49">
        <f>'Таблица 12 Поправки'!D5</f>
        <v>1</v>
      </c>
      <c r="O23" s="57"/>
    </row>
    <row r="24" spans="1:15" ht="18.75">
      <c r="A24" s="104"/>
      <c r="B24" s="3"/>
      <c r="C24" s="46"/>
      <c r="D24" s="46">
        <v>7310</v>
      </c>
      <c r="E24" s="46"/>
      <c r="F24" s="46"/>
      <c r="G24" s="46">
        <v>1946</v>
      </c>
      <c r="H24" s="46"/>
      <c r="I24" s="52">
        <f>I22-I23</f>
        <v>1945</v>
      </c>
      <c r="J24" s="3"/>
      <c r="K24" s="3"/>
    </row>
    <row r="25" spans="1:15" ht="18.75">
      <c r="A25" s="102">
        <v>6</v>
      </c>
      <c r="B25" s="3" t="s">
        <v>145</v>
      </c>
      <c r="C25" s="46">
        <v>2962</v>
      </c>
      <c r="D25" s="46"/>
      <c r="E25" s="46"/>
      <c r="F25" s="46"/>
      <c r="G25" s="46"/>
      <c r="H25" s="46"/>
      <c r="I25" s="46"/>
      <c r="J25" s="3"/>
      <c r="K25" s="51">
        <f>K22</f>
        <v>96.399000000000001</v>
      </c>
    </row>
    <row r="26" spans="1:15" ht="18.75">
      <c r="A26" s="103"/>
      <c r="B26" s="3"/>
      <c r="C26" s="46">
        <v>7746</v>
      </c>
      <c r="D26" s="46"/>
      <c r="E26" s="46"/>
      <c r="F26" s="46"/>
      <c r="G26" s="46"/>
      <c r="H26" s="46"/>
      <c r="I26" s="46"/>
      <c r="J26" s="3"/>
      <c r="K26" s="51">
        <f>H29</f>
        <v>2633</v>
      </c>
    </row>
    <row r="27" spans="1:15" ht="18.75">
      <c r="A27" s="103"/>
      <c r="B27" s="3" t="s">
        <v>143</v>
      </c>
      <c r="C27" s="46"/>
      <c r="D27" s="46">
        <v>329</v>
      </c>
      <c r="E27" s="46"/>
      <c r="F27" s="46">
        <v>2633</v>
      </c>
      <c r="G27" s="46"/>
      <c r="H27" s="46">
        <v>2632</v>
      </c>
      <c r="I27" s="46"/>
      <c r="J27" s="3"/>
      <c r="K27" s="51">
        <f>K25+H29/1000</f>
        <v>99.031999999999996</v>
      </c>
    </row>
    <row r="28" spans="1:15" ht="18.75">
      <c r="A28" s="104"/>
      <c r="B28" s="3"/>
      <c r="C28" s="46"/>
      <c r="D28" s="46">
        <v>5115</v>
      </c>
      <c r="E28" s="46"/>
      <c r="F28" s="46">
        <v>2631</v>
      </c>
      <c r="G28" s="46"/>
      <c r="H28" s="49">
        <f>'Таблица 12 Поправки'!D6</f>
        <v>1</v>
      </c>
      <c r="I28" s="46"/>
      <c r="J28" s="3"/>
      <c r="K28" s="3"/>
    </row>
    <row r="29" spans="1:15" ht="18.75">
      <c r="A29" s="102">
        <v>7</v>
      </c>
      <c r="B29" s="3" t="s">
        <v>143</v>
      </c>
      <c r="C29" s="46">
        <v>2744</v>
      </c>
      <c r="D29" s="46"/>
      <c r="E29" s="46"/>
      <c r="F29" s="46"/>
      <c r="G29" s="46"/>
      <c r="H29" s="52">
        <f>H27+H28</f>
        <v>2633</v>
      </c>
      <c r="I29" s="46"/>
      <c r="J29" s="3"/>
      <c r="K29" s="51">
        <f>K27</f>
        <v>99.031999999999996</v>
      </c>
    </row>
    <row r="30" spans="1:15" ht="18.75">
      <c r="A30" s="103"/>
      <c r="B30" s="3"/>
      <c r="C30" s="46">
        <v>7528</v>
      </c>
      <c r="D30" s="46"/>
      <c r="E30" s="46"/>
      <c r="F30" s="46"/>
      <c r="G30" s="46"/>
      <c r="H30" s="46"/>
      <c r="I30" s="46"/>
      <c r="J30" s="3"/>
      <c r="K30" s="51">
        <f>K29+H33/1000</f>
        <v>101.017</v>
      </c>
    </row>
    <row r="31" spans="1:15">
      <c r="A31" s="103"/>
      <c r="B31" s="3" t="s">
        <v>146</v>
      </c>
      <c r="C31" s="46"/>
      <c r="D31" s="46">
        <v>759</v>
      </c>
      <c r="E31" s="46"/>
      <c r="F31" s="46">
        <v>1985</v>
      </c>
      <c r="G31" s="46"/>
      <c r="H31" s="46">
        <v>1984</v>
      </c>
      <c r="I31" s="46"/>
      <c r="J31" s="3"/>
      <c r="K31" s="3"/>
    </row>
    <row r="32" spans="1:15" ht="18.75">
      <c r="A32" s="104"/>
      <c r="B32" s="3"/>
      <c r="C32" s="46"/>
      <c r="D32" s="46">
        <v>5545</v>
      </c>
      <c r="E32" s="46"/>
      <c r="F32" s="48">
        <v>1983</v>
      </c>
      <c r="G32" s="46"/>
      <c r="H32" s="49">
        <f>'Таблица 12 Поправки'!D7</f>
        <v>1</v>
      </c>
      <c r="I32" s="46"/>
      <c r="J32" s="3"/>
      <c r="K32" s="3"/>
    </row>
    <row r="33" spans="1:12" ht="18.75">
      <c r="A33" s="102">
        <v>8</v>
      </c>
      <c r="B33" s="3" t="s">
        <v>146</v>
      </c>
      <c r="C33" s="46">
        <v>1875</v>
      </c>
      <c r="D33" s="46"/>
      <c r="E33" s="46"/>
      <c r="F33" s="46"/>
      <c r="G33" s="46"/>
      <c r="H33" s="52">
        <f>H31+H32</f>
        <v>1985</v>
      </c>
      <c r="I33" s="46"/>
      <c r="J33" s="51">
        <f>C33/1000+K33</f>
        <v>102.892</v>
      </c>
      <c r="K33" s="51">
        <f>K30</f>
        <v>101.017</v>
      </c>
      <c r="L33" s="88" t="s">
        <v>153</v>
      </c>
    </row>
    <row r="34" spans="1:12" ht="18.75">
      <c r="A34" s="103"/>
      <c r="B34" s="3"/>
      <c r="C34" s="46">
        <v>6665</v>
      </c>
      <c r="D34" s="46"/>
      <c r="E34" s="46"/>
      <c r="F34" s="46"/>
      <c r="G34" s="46"/>
      <c r="H34" s="46"/>
      <c r="I34" s="46"/>
      <c r="J34" s="99">
        <f>(J33+J40)/2</f>
        <v>102.89349999999999</v>
      </c>
      <c r="K34" s="54">
        <f>$J$34-E35/1000</f>
        <v>102.66549999999999</v>
      </c>
      <c r="L34" s="89"/>
    </row>
    <row r="35" spans="1:12" ht="18.75">
      <c r="A35" s="103"/>
      <c r="B35" s="3">
        <v>71</v>
      </c>
      <c r="C35" s="46"/>
      <c r="D35" s="46"/>
      <c r="E35" s="46">
        <v>228</v>
      </c>
      <c r="F35" s="46"/>
      <c r="G35" s="46"/>
      <c r="H35" s="46"/>
      <c r="I35" s="46"/>
      <c r="J35" s="100"/>
      <c r="K35" s="54">
        <f>$J$34-E36/1000</f>
        <v>102.76649999999999</v>
      </c>
      <c r="L35" s="89"/>
    </row>
    <row r="36" spans="1:12" ht="18.75">
      <c r="A36" s="103"/>
      <c r="B36" s="3" t="s">
        <v>147</v>
      </c>
      <c r="C36" s="46"/>
      <c r="D36" s="46"/>
      <c r="E36" s="46">
        <v>127</v>
      </c>
      <c r="F36" s="46"/>
      <c r="G36" s="46"/>
      <c r="H36" s="46"/>
      <c r="I36" s="46"/>
      <c r="J36" s="100"/>
      <c r="K36" s="54">
        <f t="shared" ref="K36:K38" si="0">$J$34-E37/1000</f>
        <v>102.82449999999999</v>
      </c>
      <c r="L36" s="89"/>
    </row>
    <row r="37" spans="1:12" ht="18.75">
      <c r="A37" s="103"/>
      <c r="B37" s="3" t="s">
        <v>148</v>
      </c>
      <c r="C37" s="46"/>
      <c r="D37" s="46"/>
      <c r="E37" s="46">
        <v>69</v>
      </c>
      <c r="F37" s="46"/>
      <c r="G37" s="46"/>
      <c r="H37" s="46"/>
      <c r="I37" s="46"/>
      <c r="J37" s="100"/>
      <c r="K37" s="54">
        <f t="shared" si="0"/>
        <v>100.91549999999999</v>
      </c>
      <c r="L37" s="89"/>
    </row>
    <row r="38" spans="1:12" ht="18.75">
      <c r="A38" s="103"/>
      <c r="B38" s="3" t="s">
        <v>149</v>
      </c>
      <c r="C38" s="46"/>
      <c r="D38" s="46"/>
      <c r="E38" s="46">
        <v>1978</v>
      </c>
      <c r="F38" s="46"/>
      <c r="G38" s="46"/>
      <c r="H38" s="46"/>
      <c r="I38" s="46"/>
      <c r="J38" s="100"/>
      <c r="K38" s="54">
        <f t="shared" si="0"/>
        <v>100.05649999999999</v>
      </c>
      <c r="L38" s="89"/>
    </row>
    <row r="39" spans="1:12">
      <c r="A39" s="103"/>
      <c r="B39" s="3" t="s">
        <v>150</v>
      </c>
      <c r="C39" s="46"/>
      <c r="D39" s="46"/>
      <c r="E39" s="46">
        <v>2837</v>
      </c>
      <c r="F39" s="46"/>
      <c r="G39" s="46"/>
      <c r="H39" s="46"/>
      <c r="I39" s="46"/>
      <c r="J39" s="101"/>
      <c r="L39" s="89"/>
    </row>
    <row r="40" spans="1:12" ht="18.75">
      <c r="A40" s="103"/>
      <c r="B40" s="3" t="s">
        <v>151</v>
      </c>
      <c r="C40" s="46"/>
      <c r="D40" s="46">
        <v>731</v>
      </c>
      <c r="E40" s="46"/>
      <c r="F40" s="46">
        <v>1144</v>
      </c>
      <c r="G40" s="46"/>
      <c r="H40" s="46">
        <v>1146</v>
      </c>
      <c r="I40" s="46"/>
      <c r="J40" s="51">
        <f>K40+D40/1000</f>
        <v>102.895</v>
      </c>
      <c r="K40" s="51">
        <f>K33+H42/1000</f>
        <v>102.164</v>
      </c>
      <c r="L40" s="89"/>
    </row>
    <row r="41" spans="1:12" ht="18.75">
      <c r="A41" s="104"/>
      <c r="B41" s="3"/>
      <c r="C41" s="46"/>
      <c r="D41" s="46">
        <v>5518</v>
      </c>
      <c r="E41" s="46"/>
      <c r="F41" s="46">
        <v>1147</v>
      </c>
      <c r="G41" s="46"/>
      <c r="H41" s="49">
        <f>'Таблица 12 Поправки'!D8</f>
        <v>1</v>
      </c>
      <c r="I41" s="46"/>
      <c r="J41" s="3"/>
      <c r="K41" s="3"/>
      <c r="L41" s="90"/>
    </row>
    <row r="42" spans="1:12" ht="18.75">
      <c r="H42" s="52">
        <f>H40+H41</f>
        <v>1147</v>
      </c>
    </row>
    <row r="44" spans="1:12" s="2" customFormat="1" ht="32.25" customHeight="1">
      <c r="A44" s="88" t="s">
        <v>129</v>
      </c>
      <c r="B44" s="88" t="s">
        <v>130</v>
      </c>
      <c r="C44" s="91" t="s">
        <v>131</v>
      </c>
      <c r="D44" s="97"/>
      <c r="E44" s="92"/>
      <c r="F44" s="91" t="s">
        <v>135</v>
      </c>
      <c r="G44" s="92"/>
      <c r="H44" s="91" t="s">
        <v>137</v>
      </c>
      <c r="I44" s="92"/>
      <c r="J44" s="88" t="s">
        <v>138</v>
      </c>
      <c r="K44" s="88" t="s">
        <v>139</v>
      </c>
      <c r="L44" s="88" t="s">
        <v>152</v>
      </c>
    </row>
    <row r="45" spans="1:12" s="2" customFormat="1" ht="33">
      <c r="A45" s="90"/>
      <c r="B45" s="90"/>
      <c r="C45" s="44" t="s">
        <v>133</v>
      </c>
      <c r="D45" s="44" t="s">
        <v>132</v>
      </c>
      <c r="E45" s="44" t="s">
        <v>134</v>
      </c>
      <c r="F45" s="2" t="s">
        <v>136</v>
      </c>
      <c r="G45" s="2" t="s">
        <v>56</v>
      </c>
      <c r="H45" s="2" t="s">
        <v>136</v>
      </c>
      <c r="I45" s="2" t="s">
        <v>56</v>
      </c>
      <c r="J45" s="90"/>
      <c r="K45" s="90"/>
      <c r="L45" s="90"/>
    </row>
    <row r="46" spans="1:12" s="45" customFormat="1">
      <c r="A46" s="45">
        <v>1</v>
      </c>
      <c r="B46" s="45">
        <v>2</v>
      </c>
      <c r="C46" s="45">
        <v>3</v>
      </c>
      <c r="D46" s="45">
        <v>4</v>
      </c>
      <c r="E46" s="45">
        <v>5</v>
      </c>
      <c r="F46" s="45">
        <v>6</v>
      </c>
      <c r="G46" s="45">
        <v>7</v>
      </c>
      <c r="H46" s="45">
        <v>8</v>
      </c>
      <c r="I46" s="45">
        <v>9</v>
      </c>
      <c r="J46" s="45">
        <v>10</v>
      </c>
      <c r="K46" s="45">
        <v>11</v>
      </c>
    </row>
    <row r="47" spans="1:12" s="45" customFormat="1" ht="18.75">
      <c r="A47" s="102">
        <v>9</v>
      </c>
      <c r="B47" s="60" t="s">
        <v>122</v>
      </c>
      <c r="C47" s="61">
        <v>363</v>
      </c>
      <c r="D47" s="61"/>
      <c r="E47" s="61"/>
      <c r="F47" s="61"/>
      <c r="G47" s="61"/>
      <c r="H47" s="61"/>
      <c r="I47" s="61"/>
      <c r="J47" s="60"/>
      <c r="K47" s="66">
        <f>K40</f>
        <v>102.164</v>
      </c>
    </row>
    <row r="48" spans="1:12" s="45" customFormat="1" ht="18.75">
      <c r="A48" s="103"/>
      <c r="B48" s="60"/>
      <c r="C48" s="61">
        <v>5151</v>
      </c>
      <c r="D48" s="61"/>
      <c r="E48" s="61"/>
      <c r="F48" s="61"/>
      <c r="G48" s="61">
        <v>2502</v>
      </c>
      <c r="H48" s="61"/>
      <c r="I48" s="61">
        <v>2501</v>
      </c>
      <c r="J48" s="60"/>
      <c r="K48" s="66">
        <f>K47-I50/1000</f>
        <v>99.664000000000001</v>
      </c>
    </row>
    <row r="49" spans="1:11" s="45" customFormat="1" ht="18.75">
      <c r="A49" s="103"/>
      <c r="B49" s="60" t="s">
        <v>154</v>
      </c>
      <c r="C49" s="61"/>
      <c r="D49" s="61">
        <v>2865</v>
      </c>
      <c r="E49" s="61"/>
      <c r="F49" s="61"/>
      <c r="G49" s="61">
        <v>2500</v>
      </c>
      <c r="H49" s="61"/>
      <c r="I49" s="64">
        <f>'Таблица 12 Поправки'!D11</f>
        <v>1</v>
      </c>
      <c r="J49" s="60"/>
      <c r="K49" s="60"/>
    </row>
    <row r="50" spans="1:11" ht="18.75">
      <c r="A50" s="104"/>
      <c r="B50" s="61"/>
      <c r="C50" s="61"/>
      <c r="D50" s="61">
        <v>7651</v>
      </c>
      <c r="E50" s="61"/>
      <c r="F50" s="61"/>
      <c r="G50" s="61"/>
      <c r="H50" s="61"/>
      <c r="I50" s="65">
        <f>I48-I49</f>
        <v>2500</v>
      </c>
      <c r="J50" s="60"/>
      <c r="K50" s="60"/>
    </row>
    <row r="51" spans="1:11" ht="18.75">
      <c r="A51" s="102">
        <v>10</v>
      </c>
      <c r="B51" s="61" t="s">
        <v>154</v>
      </c>
      <c r="C51" s="61">
        <v>544</v>
      </c>
      <c r="D51" s="61"/>
      <c r="E51" s="61"/>
      <c r="F51" s="61"/>
      <c r="G51" s="61">
        <v>2332</v>
      </c>
      <c r="H51" s="61"/>
      <c r="I51" s="61"/>
      <c r="J51" s="60"/>
      <c r="K51" s="66">
        <f>K48</f>
        <v>99.664000000000001</v>
      </c>
    </row>
    <row r="52" spans="1:11" ht="18.75">
      <c r="A52" s="103"/>
      <c r="B52" s="61"/>
      <c r="C52" s="61">
        <v>5332</v>
      </c>
      <c r="D52" s="61"/>
      <c r="E52" s="61"/>
      <c r="F52" s="61"/>
      <c r="G52" s="61">
        <v>2329</v>
      </c>
      <c r="H52" s="61"/>
      <c r="I52" s="61">
        <v>2330</v>
      </c>
      <c r="J52" s="60"/>
      <c r="K52" s="66">
        <f>K51-I54/1000</f>
        <v>97.335999999999999</v>
      </c>
    </row>
    <row r="53" spans="1:11" ht="18.75">
      <c r="A53" s="103"/>
      <c r="B53" s="61" t="s">
        <v>143</v>
      </c>
      <c r="C53" s="61"/>
      <c r="D53" s="61">
        <v>2876</v>
      </c>
      <c r="E53" s="61"/>
      <c r="F53" s="61"/>
      <c r="G53" s="61"/>
      <c r="H53" s="61"/>
      <c r="I53" s="64">
        <f>'Таблица 12 Поправки'!D12</f>
        <v>2</v>
      </c>
      <c r="J53" s="60"/>
      <c r="K53" s="60"/>
    </row>
    <row r="54" spans="1:11" ht="18.75">
      <c r="A54" s="104"/>
      <c r="B54" s="61"/>
      <c r="C54" s="61"/>
      <c r="D54" s="61">
        <v>7661</v>
      </c>
      <c r="E54" s="61"/>
      <c r="F54" s="61"/>
      <c r="G54" s="61"/>
      <c r="H54" s="61"/>
      <c r="I54" s="65">
        <f>I52-I53</f>
        <v>2328</v>
      </c>
      <c r="J54" s="60"/>
      <c r="K54" s="60"/>
    </row>
    <row r="55" spans="1:11" ht="18.75">
      <c r="A55" s="102">
        <v>11</v>
      </c>
      <c r="B55" s="61" t="s">
        <v>143</v>
      </c>
      <c r="C55" s="61">
        <v>415</v>
      </c>
      <c r="D55" s="61"/>
      <c r="E55" s="61"/>
      <c r="F55" s="61"/>
      <c r="G55" s="61">
        <v>2468</v>
      </c>
      <c r="H55" s="61"/>
      <c r="I55" s="61"/>
      <c r="J55" s="60"/>
      <c r="K55" s="66">
        <f>K52</f>
        <v>97.335999999999999</v>
      </c>
    </row>
    <row r="56" spans="1:11" ht="18.75">
      <c r="A56" s="103"/>
      <c r="B56" s="61"/>
      <c r="C56" s="61">
        <v>5200</v>
      </c>
      <c r="D56" s="61"/>
      <c r="E56" s="61"/>
      <c r="F56" s="61"/>
      <c r="G56" s="61">
        <v>2469</v>
      </c>
      <c r="H56" s="61"/>
      <c r="I56" s="61">
        <v>2468</v>
      </c>
      <c r="J56" s="60"/>
      <c r="K56" s="66">
        <f>K55-I58/1000</f>
        <v>94.869</v>
      </c>
    </row>
    <row r="57" spans="1:11" ht="18.75">
      <c r="A57" s="103"/>
      <c r="B57" s="61" t="s">
        <v>155</v>
      </c>
      <c r="C57" s="61"/>
      <c r="D57" s="61">
        <v>2883</v>
      </c>
      <c r="E57" s="61"/>
      <c r="F57" s="61"/>
      <c r="G57" s="61"/>
      <c r="H57" s="61"/>
      <c r="I57" s="64">
        <f>'Таблица 12 Поправки'!D13</f>
        <v>1</v>
      </c>
      <c r="J57" s="60"/>
      <c r="K57" s="60"/>
    </row>
    <row r="58" spans="1:11" ht="18.75">
      <c r="A58" s="104"/>
      <c r="B58" s="61"/>
      <c r="C58" s="61"/>
      <c r="D58" s="61">
        <v>7669</v>
      </c>
      <c r="E58" s="61"/>
      <c r="F58" s="61"/>
      <c r="G58" s="61"/>
      <c r="H58" s="61"/>
      <c r="I58" s="65">
        <f>I56-I57</f>
        <v>2467</v>
      </c>
      <c r="J58" s="60"/>
      <c r="K58" s="60"/>
    </row>
    <row r="59" spans="1:11" ht="18.75">
      <c r="A59" s="102">
        <v>12</v>
      </c>
      <c r="B59" s="61" t="s">
        <v>155</v>
      </c>
      <c r="C59" s="61">
        <v>516</v>
      </c>
      <c r="D59" s="61"/>
      <c r="E59" s="61"/>
      <c r="F59" s="61"/>
      <c r="G59" s="61">
        <v>1683</v>
      </c>
      <c r="H59" s="61"/>
      <c r="I59" s="61"/>
      <c r="J59" s="60"/>
      <c r="K59" s="66">
        <f>K56</f>
        <v>94.869</v>
      </c>
    </row>
    <row r="60" spans="1:11" ht="18.75">
      <c r="A60" s="103"/>
      <c r="B60" s="61"/>
      <c r="C60" s="61">
        <v>5305</v>
      </c>
      <c r="D60" s="61"/>
      <c r="E60" s="61"/>
      <c r="F60" s="61"/>
      <c r="G60" s="61">
        <v>1681</v>
      </c>
      <c r="H60" s="61"/>
      <c r="I60" s="61">
        <v>1682</v>
      </c>
      <c r="J60" s="60"/>
      <c r="K60" s="66">
        <f>K59-I62/1000</f>
        <v>93.188999999999993</v>
      </c>
    </row>
    <row r="61" spans="1:11" ht="18.75">
      <c r="A61" s="103"/>
      <c r="B61" s="61" t="s">
        <v>156</v>
      </c>
      <c r="C61" s="61"/>
      <c r="D61" s="61">
        <v>2199</v>
      </c>
      <c r="E61" s="61"/>
      <c r="F61" s="61"/>
      <c r="G61" s="61"/>
      <c r="H61" s="61"/>
      <c r="I61" s="64">
        <f>'Таблица 12 Поправки'!D14</f>
        <v>2</v>
      </c>
      <c r="J61" s="60"/>
      <c r="K61" s="60"/>
    </row>
    <row r="62" spans="1:11" ht="18.75">
      <c r="A62" s="104"/>
      <c r="B62" s="61"/>
      <c r="C62" s="61"/>
      <c r="D62" s="61">
        <v>6986</v>
      </c>
      <c r="E62" s="61"/>
      <c r="F62" s="61"/>
      <c r="G62" s="61"/>
      <c r="H62" s="61"/>
      <c r="I62" s="65">
        <f>I60-I61</f>
        <v>1680</v>
      </c>
      <c r="J62" s="60"/>
      <c r="K62" s="60"/>
    </row>
    <row r="63" spans="1:11" ht="18.75">
      <c r="A63" s="102">
        <v>13</v>
      </c>
      <c r="B63" s="61" t="s">
        <v>156</v>
      </c>
      <c r="C63" s="61">
        <v>830</v>
      </c>
      <c r="D63" s="61"/>
      <c r="E63" s="61"/>
      <c r="F63" s="61"/>
      <c r="G63" s="61">
        <v>1286</v>
      </c>
      <c r="H63" s="61"/>
      <c r="I63" s="61"/>
      <c r="J63" s="66">
        <f>K63+C63/1000</f>
        <v>94.018999999999991</v>
      </c>
      <c r="K63" s="66">
        <f>K60</f>
        <v>93.188999999999993</v>
      </c>
    </row>
    <row r="64" spans="1:11">
      <c r="A64" s="103"/>
      <c r="B64" s="61"/>
      <c r="C64" s="61">
        <v>5617</v>
      </c>
      <c r="D64" s="61"/>
      <c r="E64" s="61"/>
      <c r="F64" s="61"/>
      <c r="G64" s="61">
        <v>1287</v>
      </c>
      <c r="H64" s="61"/>
      <c r="I64" s="61">
        <v>1286</v>
      </c>
      <c r="J64" s="99">
        <f>AVERAGE(J63,J66)</f>
        <v>94.019499999999994</v>
      </c>
      <c r="K64" s="60"/>
    </row>
    <row r="65" spans="1:11" ht="18.75">
      <c r="A65" s="103"/>
      <c r="B65" s="60">
        <v>29</v>
      </c>
      <c r="C65" s="61"/>
      <c r="D65" s="61"/>
      <c r="E65" s="61">
        <v>2837</v>
      </c>
      <c r="F65" s="61"/>
      <c r="G65" s="61"/>
      <c r="H65" s="61"/>
      <c r="I65" s="64">
        <f>'Таблица 12 Поправки'!D15</f>
        <v>1</v>
      </c>
      <c r="J65" s="105"/>
      <c r="K65" s="66">
        <f>J64-E65/1000</f>
        <v>91.18249999999999</v>
      </c>
    </row>
    <row r="66" spans="1:11" ht="18.75">
      <c r="A66" s="103"/>
      <c r="B66" s="61" t="s">
        <v>157</v>
      </c>
      <c r="C66" s="61"/>
      <c r="D66" s="61">
        <v>2116</v>
      </c>
      <c r="E66" s="61"/>
      <c r="F66" s="61"/>
      <c r="G66" s="61"/>
      <c r="H66" s="61"/>
      <c r="I66" s="65">
        <f>I64-I65</f>
        <v>1285</v>
      </c>
      <c r="J66" s="67">
        <f>K66+D66/1000</f>
        <v>94.02</v>
      </c>
      <c r="K66" s="66">
        <f>K63-I66/1000</f>
        <v>91.903999999999996</v>
      </c>
    </row>
    <row r="67" spans="1:11">
      <c r="A67" s="104"/>
      <c r="B67" s="61"/>
      <c r="C67" s="61"/>
      <c r="D67" s="61">
        <v>6904</v>
      </c>
      <c r="E67" s="61"/>
      <c r="F67" s="61"/>
      <c r="G67" s="61"/>
      <c r="H67" s="61"/>
      <c r="I67" s="61"/>
      <c r="J67" s="60"/>
      <c r="K67" s="60"/>
    </row>
    <row r="68" spans="1:11">
      <c r="A68" s="102">
        <v>14</v>
      </c>
      <c r="B68" s="61" t="s">
        <v>157</v>
      </c>
      <c r="C68" s="61">
        <v>2842</v>
      </c>
      <c r="D68" s="61"/>
      <c r="E68" s="61"/>
      <c r="F68" s="61"/>
      <c r="G68" s="61"/>
      <c r="H68" s="61"/>
      <c r="I68" s="61"/>
      <c r="J68" s="60"/>
      <c r="K68" s="60"/>
    </row>
    <row r="69" spans="1:11" ht="18.75">
      <c r="A69" s="103"/>
      <c r="B69" s="61"/>
      <c r="C69" s="61">
        <v>7630</v>
      </c>
      <c r="D69" s="61"/>
      <c r="E69" s="61"/>
      <c r="F69" s="61">
        <v>2195</v>
      </c>
      <c r="G69" s="61"/>
      <c r="H69" s="61">
        <v>2194</v>
      </c>
      <c r="J69" s="60"/>
      <c r="K69" s="66">
        <f>K66</f>
        <v>91.903999999999996</v>
      </c>
    </row>
    <row r="70" spans="1:11" ht="18.75">
      <c r="A70" s="103"/>
      <c r="B70" s="61" t="s">
        <v>158</v>
      </c>
      <c r="C70" s="61"/>
      <c r="D70" s="61">
        <v>647</v>
      </c>
      <c r="E70" s="61"/>
      <c r="F70" s="61">
        <v>2194</v>
      </c>
      <c r="G70" s="61"/>
      <c r="H70" s="64">
        <f>'Таблица 12 Поправки'!D16</f>
        <v>2</v>
      </c>
      <c r="I70" s="61"/>
      <c r="J70" s="60"/>
      <c r="K70" s="66">
        <f>K69+H71/1000</f>
        <v>94.1</v>
      </c>
    </row>
    <row r="71" spans="1:11" ht="18.75">
      <c r="A71" s="104"/>
      <c r="B71" s="61"/>
      <c r="C71" s="61"/>
      <c r="D71" s="61">
        <v>5436</v>
      </c>
      <c r="E71" s="61"/>
      <c r="F71" s="61"/>
      <c r="G71" s="61"/>
      <c r="H71" s="65">
        <f>H69+H70</f>
        <v>2196</v>
      </c>
      <c r="I71" s="61"/>
      <c r="J71" s="60"/>
      <c r="K71" s="60"/>
    </row>
    <row r="72" spans="1:11" ht="18.75">
      <c r="A72" s="102">
        <v>15</v>
      </c>
      <c r="B72" s="61" t="s">
        <v>158</v>
      </c>
      <c r="C72" s="61">
        <v>1568</v>
      </c>
      <c r="D72" s="61"/>
      <c r="E72" s="61"/>
      <c r="F72" s="61"/>
      <c r="G72" s="61"/>
      <c r="H72" s="61"/>
      <c r="I72" s="61"/>
      <c r="J72" s="66">
        <f>K72+C72/1000</f>
        <v>95.667999999999992</v>
      </c>
      <c r="K72" s="66">
        <f>K70</f>
        <v>94.1</v>
      </c>
    </row>
    <row r="73" spans="1:11">
      <c r="A73" s="103"/>
      <c r="B73" s="61"/>
      <c r="C73" s="61">
        <v>6355</v>
      </c>
      <c r="D73" s="61"/>
      <c r="E73" s="61"/>
      <c r="F73" s="61"/>
      <c r="G73" s="61">
        <v>126</v>
      </c>
      <c r="H73" s="61"/>
      <c r="I73" s="61">
        <v>127</v>
      </c>
      <c r="J73" s="99">
        <f>AVERAGE(J72,J75)</f>
        <v>95.667999999999992</v>
      </c>
      <c r="K73" s="60"/>
    </row>
    <row r="74" spans="1:11" ht="18.75">
      <c r="A74" s="103"/>
      <c r="B74" s="60">
        <v>75</v>
      </c>
      <c r="C74" s="61"/>
      <c r="D74" s="61"/>
      <c r="E74" s="61">
        <v>432</v>
      </c>
      <c r="F74" s="61"/>
      <c r="G74" s="61">
        <v>128</v>
      </c>
      <c r="H74" s="61"/>
      <c r="I74" s="64">
        <f>'Таблица 12 Поправки'!D17</f>
        <v>1</v>
      </c>
      <c r="J74" s="105"/>
      <c r="K74" s="66">
        <f>J73-E74/1000</f>
        <v>95.23599999999999</v>
      </c>
    </row>
    <row r="75" spans="1:11" ht="18.75">
      <c r="A75" s="103"/>
      <c r="B75" s="61" t="s">
        <v>159</v>
      </c>
      <c r="C75" s="61"/>
      <c r="D75" s="61">
        <v>1694</v>
      </c>
      <c r="E75" s="61"/>
      <c r="F75" s="61"/>
      <c r="G75" s="61"/>
      <c r="H75" s="61"/>
      <c r="I75" s="65">
        <f>I73-I74</f>
        <v>126</v>
      </c>
      <c r="J75" s="67">
        <f>K75+D75/1000</f>
        <v>95.667999999999992</v>
      </c>
      <c r="K75" s="66">
        <f>K72-I75/1000</f>
        <v>93.97399999999999</v>
      </c>
    </row>
    <row r="76" spans="1:11">
      <c r="A76" s="104"/>
      <c r="B76" s="61"/>
      <c r="C76" s="61"/>
      <c r="D76" s="61">
        <v>6483</v>
      </c>
      <c r="E76" s="61"/>
      <c r="F76" s="61"/>
      <c r="G76" s="61"/>
      <c r="H76" s="61"/>
      <c r="I76" s="61"/>
      <c r="J76" s="60"/>
      <c r="K76" s="60"/>
    </row>
    <row r="77" spans="1:11" ht="18.75">
      <c r="A77" s="102">
        <v>16</v>
      </c>
      <c r="B77" s="61" t="s">
        <v>159</v>
      </c>
      <c r="C77" s="61">
        <v>570</v>
      </c>
      <c r="D77" s="61"/>
      <c r="E77" s="61"/>
      <c r="F77" s="61"/>
      <c r="G77" s="61"/>
      <c r="H77" s="61"/>
      <c r="I77" s="61"/>
      <c r="J77" s="60"/>
      <c r="K77" s="66">
        <f>K75</f>
        <v>93.97399999999999</v>
      </c>
    </row>
    <row r="78" spans="1:11" ht="18.75">
      <c r="A78" s="103"/>
      <c r="B78" s="61"/>
      <c r="C78" s="61">
        <v>5356</v>
      </c>
      <c r="D78" s="61"/>
      <c r="E78" s="61"/>
      <c r="F78" s="61"/>
      <c r="G78" s="61">
        <v>2122</v>
      </c>
      <c r="H78" s="61"/>
      <c r="I78" s="61">
        <v>2124</v>
      </c>
      <c r="J78" s="60"/>
      <c r="K78" s="66">
        <f>K77-I80/1000</f>
        <v>91.850999999999985</v>
      </c>
    </row>
    <row r="79" spans="1:11" ht="18.75">
      <c r="A79" s="103"/>
      <c r="B79" s="61" t="s">
        <v>143</v>
      </c>
      <c r="C79" s="61"/>
      <c r="D79" s="61">
        <v>2692</v>
      </c>
      <c r="E79" s="61"/>
      <c r="F79" s="61"/>
      <c r="G79" s="61">
        <v>2125</v>
      </c>
      <c r="H79" s="61"/>
      <c r="I79" s="64">
        <f>'Таблица 12 Поправки'!D18</f>
        <v>1</v>
      </c>
      <c r="J79" s="60"/>
      <c r="K79" s="60"/>
    </row>
    <row r="80" spans="1:11" ht="18.75">
      <c r="A80" s="104"/>
      <c r="B80" s="61"/>
      <c r="C80" s="61"/>
      <c r="D80" s="61">
        <v>7481</v>
      </c>
      <c r="E80" s="61"/>
      <c r="F80" s="61"/>
      <c r="G80" s="61"/>
      <c r="H80" s="61"/>
      <c r="I80" s="65">
        <f>I78-I79</f>
        <v>2123</v>
      </c>
      <c r="J80" s="60"/>
      <c r="K80" s="60"/>
    </row>
    <row r="81" spans="1:12" ht="18.75">
      <c r="A81" s="102">
        <v>17</v>
      </c>
      <c r="B81" s="61" t="s">
        <v>143</v>
      </c>
      <c r="C81" s="61">
        <v>315</v>
      </c>
      <c r="D81" s="61"/>
      <c r="E81" s="61"/>
      <c r="F81" s="61"/>
      <c r="G81" s="61"/>
      <c r="H81" s="61"/>
      <c r="I81" s="61"/>
      <c r="J81" s="60"/>
      <c r="K81" s="66">
        <f>K78</f>
        <v>91.850999999999985</v>
      </c>
    </row>
    <row r="82" spans="1:12" ht="18.75">
      <c r="A82" s="103"/>
      <c r="B82" s="61"/>
      <c r="C82" s="61">
        <v>5101</v>
      </c>
      <c r="D82" s="61"/>
      <c r="E82" s="61"/>
      <c r="F82" s="61"/>
      <c r="G82" s="61">
        <v>2435</v>
      </c>
      <c r="H82" s="61"/>
      <c r="I82" s="61">
        <v>2436</v>
      </c>
      <c r="J82" s="60"/>
      <c r="K82" s="66">
        <f>K81-I84/1000</f>
        <v>89.415999999999983</v>
      </c>
    </row>
    <row r="83" spans="1:12" ht="18.75">
      <c r="A83" s="103"/>
      <c r="B83" s="61" t="s">
        <v>160</v>
      </c>
      <c r="C83" s="61"/>
      <c r="D83" s="61">
        <v>2750</v>
      </c>
      <c r="E83" s="61"/>
      <c r="F83" s="61"/>
      <c r="G83" s="61">
        <v>2436</v>
      </c>
      <c r="H83" s="61"/>
      <c r="I83" s="64">
        <f>'Таблица 12 Поправки'!D19</f>
        <v>1</v>
      </c>
      <c r="J83" s="60"/>
      <c r="K83" s="60"/>
    </row>
    <row r="84" spans="1:12" ht="18.75">
      <c r="A84" s="104"/>
      <c r="B84" s="61"/>
      <c r="C84" s="61"/>
      <c r="D84" s="61">
        <v>7537</v>
      </c>
      <c r="E84" s="61"/>
      <c r="F84" s="61"/>
      <c r="G84" s="61"/>
      <c r="H84" s="61"/>
      <c r="I84" s="65">
        <f>I82-I83</f>
        <v>2435</v>
      </c>
      <c r="J84" s="60"/>
      <c r="K84" s="61"/>
    </row>
    <row r="87" spans="1:12" s="2" customFormat="1" ht="32.25" customHeight="1">
      <c r="A87" s="88" t="s">
        <v>129</v>
      </c>
      <c r="B87" s="88" t="s">
        <v>130</v>
      </c>
      <c r="C87" s="91" t="s">
        <v>131</v>
      </c>
      <c r="D87" s="97"/>
      <c r="E87" s="92"/>
      <c r="F87" s="91" t="s">
        <v>135</v>
      </c>
      <c r="G87" s="92"/>
      <c r="H87" s="91" t="s">
        <v>137</v>
      </c>
      <c r="I87" s="92"/>
      <c r="J87" s="88" t="s">
        <v>138</v>
      </c>
      <c r="K87" s="88" t="s">
        <v>139</v>
      </c>
      <c r="L87" s="88" t="s">
        <v>152</v>
      </c>
    </row>
    <row r="88" spans="1:12" s="2" customFormat="1" ht="33">
      <c r="A88" s="90"/>
      <c r="B88" s="90"/>
      <c r="C88" s="44" t="s">
        <v>133</v>
      </c>
      <c r="D88" s="44" t="s">
        <v>132</v>
      </c>
      <c r="E88" s="44" t="s">
        <v>134</v>
      </c>
      <c r="F88" s="2" t="s">
        <v>136</v>
      </c>
      <c r="G88" s="2" t="s">
        <v>56</v>
      </c>
      <c r="H88" s="2" t="s">
        <v>136</v>
      </c>
      <c r="I88" s="2" t="s">
        <v>56</v>
      </c>
      <c r="J88" s="90"/>
      <c r="K88" s="90"/>
      <c r="L88" s="90"/>
    </row>
    <row r="89" spans="1:12" s="45" customFormat="1">
      <c r="A89" s="45">
        <v>1</v>
      </c>
      <c r="B89" s="45">
        <v>2</v>
      </c>
      <c r="C89" s="45">
        <v>3</v>
      </c>
      <c r="D89" s="45">
        <v>4</v>
      </c>
      <c r="E89" s="45">
        <v>5</v>
      </c>
      <c r="F89" s="45">
        <v>6</v>
      </c>
      <c r="G89" s="45">
        <v>7</v>
      </c>
      <c r="H89" s="45">
        <v>8</v>
      </c>
      <c r="I89" s="45">
        <v>9</v>
      </c>
      <c r="J89" s="45">
        <v>10</v>
      </c>
      <c r="K89" s="45">
        <v>11</v>
      </c>
    </row>
    <row r="90" spans="1:12" s="45" customFormat="1" ht="18.75">
      <c r="A90" s="102">
        <v>18</v>
      </c>
      <c r="B90" s="60" t="s">
        <v>123</v>
      </c>
      <c r="C90" s="61">
        <v>639</v>
      </c>
      <c r="D90" s="61"/>
      <c r="E90" s="61"/>
      <c r="F90" s="61"/>
      <c r="G90" s="61"/>
      <c r="H90" s="61"/>
      <c r="I90" s="61"/>
      <c r="J90" s="60"/>
      <c r="K90" s="66">
        <f>K82</f>
        <v>89.415999999999983</v>
      </c>
    </row>
    <row r="91" spans="1:12" s="45" customFormat="1" ht="18.75">
      <c r="A91" s="103"/>
      <c r="B91" s="60" t="s">
        <v>161</v>
      </c>
      <c r="C91" s="61">
        <v>5427</v>
      </c>
      <c r="D91" s="61">
        <v>2883</v>
      </c>
      <c r="E91" s="61"/>
      <c r="F91" s="61"/>
      <c r="G91" s="61">
        <v>2455</v>
      </c>
      <c r="H91" s="61"/>
      <c r="I91" s="61">
        <v>2243</v>
      </c>
      <c r="J91" s="60"/>
      <c r="K91" s="66">
        <f>K90-I93/1000</f>
        <v>87.173999999999978</v>
      </c>
    </row>
    <row r="92" spans="1:12" ht="18.75">
      <c r="A92" s="104"/>
      <c r="B92" s="60"/>
      <c r="C92" s="61"/>
      <c r="D92" s="61">
        <v>7669</v>
      </c>
      <c r="E92" s="61"/>
      <c r="F92" s="61"/>
      <c r="G92" s="61">
        <v>2242</v>
      </c>
      <c r="H92" s="61" t="s">
        <v>179</v>
      </c>
      <c r="I92" s="64">
        <f>'Таблица 12 Поправки'!D22</f>
        <v>1</v>
      </c>
      <c r="J92" s="60"/>
      <c r="K92" s="60"/>
    </row>
    <row r="93" spans="1:12" ht="18.75">
      <c r="A93" s="102">
        <v>19</v>
      </c>
      <c r="B93" s="60" t="s">
        <v>161</v>
      </c>
      <c r="C93" s="61">
        <v>422</v>
      </c>
      <c r="D93" s="61"/>
      <c r="E93" s="61"/>
      <c r="F93" s="61"/>
      <c r="G93" s="61"/>
      <c r="H93" s="61"/>
      <c r="I93" s="65">
        <f>I91-I92</f>
        <v>2242</v>
      </c>
      <c r="J93" s="66">
        <f>K93+C93/1000</f>
        <v>87.595999999999975</v>
      </c>
      <c r="K93" s="66">
        <f>K91</f>
        <v>87.173999999999978</v>
      </c>
    </row>
    <row r="94" spans="1:12">
      <c r="A94" s="103"/>
      <c r="B94" s="60"/>
      <c r="C94" s="61">
        <v>5209</v>
      </c>
      <c r="D94" s="61"/>
      <c r="E94" s="61"/>
      <c r="F94" s="61"/>
      <c r="G94" s="61"/>
      <c r="H94" s="61"/>
      <c r="I94" s="61"/>
      <c r="J94" s="99">
        <f>AVERAGE(J93,J96)</f>
        <v>87.596499999999978</v>
      </c>
      <c r="K94" s="60"/>
    </row>
    <row r="95" spans="1:12" ht="18.75">
      <c r="A95" s="103"/>
      <c r="B95" s="60" t="s">
        <v>162</v>
      </c>
      <c r="C95" s="61"/>
      <c r="D95" s="61"/>
      <c r="E95" s="61">
        <v>2792</v>
      </c>
      <c r="F95" s="61"/>
      <c r="G95" s="61"/>
      <c r="H95" s="61"/>
      <c r="I95" s="61"/>
      <c r="J95" s="105"/>
      <c r="K95" s="67">
        <f>J94-E95/1000</f>
        <v>84.804499999999976</v>
      </c>
    </row>
    <row r="96" spans="1:12" ht="18.75">
      <c r="A96" s="103"/>
      <c r="B96" s="60" t="s">
        <v>163</v>
      </c>
      <c r="C96" s="61"/>
      <c r="D96" s="61">
        <v>2877</v>
      </c>
      <c r="E96" s="61"/>
      <c r="F96" s="61"/>
      <c r="G96" s="61">
        <v>2455</v>
      </c>
      <c r="H96" s="61"/>
      <c r="I96" s="61">
        <v>2454</v>
      </c>
      <c r="J96" s="67">
        <f>K96+D96/1000</f>
        <v>87.59699999999998</v>
      </c>
      <c r="K96" s="66">
        <f>K93-I96/1000</f>
        <v>84.719999999999985</v>
      </c>
    </row>
    <row r="97" spans="1:11" ht="18.75">
      <c r="A97" s="104"/>
      <c r="B97" s="60"/>
      <c r="C97" s="61"/>
      <c r="D97" s="61">
        <v>7662</v>
      </c>
      <c r="E97" s="61"/>
      <c r="F97" s="61"/>
      <c r="G97" s="61">
        <v>2453</v>
      </c>
      <c r="H97" s="61"/>
      <c r="I97" s="64">
        <f>'Таблица 12 Поправки'!D23</f>
        <v>2</v>
      </c>
      <c r="J97" s="60"/>
      <c r="K97" s="60"/>
    </row>
    <row r="98" spans="1:11" ht="18.75">
      <c r="A98" s="102">
        <v>20</v>
      </c>
      <c r="B98" s="60" t="s">
        <v>163</v>
      </c>
      <c r="C98" s="61">
        <v>978</v>
      </c>
      <c r="D98" s="61"/>
      <c r="E98" s="61"/>
      <c r="F98" s="61"/>
      <c r="G98" s="61"/>
      <c r="H98" s="61"/>
      <c r="I98" s="65">
        <f>I96-I97</f>
        <v>2452</v>
      </c>
      <c r="J98" s="60"/>
      <c r="K98" s="66">
        <f>K96</f>
        <v>84.719999999999985</v>
      </c>
    </row>
    <row r="99" spans="1:11" ht="18.75">
      <c r="A99" s="103"/>
      <c r="B99" s="60"/>
      <c r="C99" s="61">
        <v>5765</v>
      </c>
      <c r="D99" s="61"/>
      <c r="E99" s="61"/>
      <c r="F99" s="61"/>
      <c r="G99" s="61"/>
      <c r="H99" s="61"/>
      <c r="I99" s="61"/>
      <c r="J99" s="60"/>
      <c r="K99" s="66">
        <f>K98-I102/1000</f>
        <v>83.202999999999989</v>
      </c>
    </row>
    <row r="100" spans="1:11">
      <c r="A100" s="103"/>
      <c r="B100" s="60" t="s">
        <v>203</v>
      </c>
      <c r="C100" s="61"/>
      <c r="D100" s="61">
        <v>2496</v>
      </c>
      <c r="E100" s="61"/>
      <c r="F100" s="61"/>
      <c r="G100" s="61">
        <v>1518</v>
      </c>
      <c r="H100" s="61"/>
      <c r="I100" s="61">
        <v>1518</v>
      </c>
      <c r="J100" s="60"/>
      <c r="K100" s="60"/>
    </row>
    <row r="101" spans="1:11" ht="18.75">
      <c r="A101" s="104"/>
      <c r="B101" s="60"/>
      <c r="C101" s="61"/>
      <c r="D101" s="61">
        <v>7283</v>
      </c>
      <c r="E101" s="61"/>
      <c r="F101" s="61"/>
      <c r="G101" s="61">
        <v>1518</v>
      </c>
      <c r="H101" s="61"/>
      <c r="I101" s="64">
        <f>'Таблица 12 Поправки'!D24</f>
        <v>1</v>
      </c>
      <c r="J101" s="60"/>
      <c r="K101" s="60"/>
    </row>
    <row r="102" spans="1:11" ht="18.75">
      <c r="A102" s="102">
        <v>21</v>
      </c>
      <c r="B102" s="60" t="s">
        <v>203</v>
      </c>
      <c r="C102" s="61">
        <v>2780</v>
      </c>
      <c r="D102" s="61"/>
      <c r="E102" s="61"/>
      <c r="F102" s="61"/>
      <c r="G102" s="61"/>
      <c r="H102" s="61"/>
      <c r="I102" s="65">
        <f>I100-I101</f>
        <v>1517</v>
      </c>
      <c r="J102" s="60"/>
      <c r="K102" s="66">
        <f>K99</f>
        <v>83.202999999999989</v>
      </c>
    </row>
    <row r="103" spans="1:11" ht="18.75">
      <c r="A103" s="103"/>
      <c r="B103" s="60"/>
      <c r="C103" s="61">
        <v>7656</v>
      </c>
      <c r="D103" s="61"/>
      <c r="E103" s="61"/>
      <c r="F103" s="61"/>
      <c r="G103" s="61"/>
      <c r="H103" s="61"/>
      <c r="I103" s="61"/>
      <c r="J103" s="60"/>
      <c r="K103" s="66">
        <f>K102-I106/1000</f>
        <v>83.196999999999989</v>
      </c>
    </row>
    <row r="104" spans="1:11">
      <c r="A104" s="103"/>
      <c r="B104" s="60" t="s">
        <v>204</v>
      </c>
      <c r="C104" s="61"/>
      <c r="D104" s="61">
        <v>2789</v>
      </c>
      <c r="E104" s="61"/>
      <c r="F104" s="61"/>
      <c r="G104" s="61">
        <v>9</v>
      </c>
      <c r="H104" s="61"/>
      <c r="I104" s="61">
        <v>8</v>
      </c>
      <c r="J104" s="60"/>
      <c r="K104" s="60"/>
    </row>
    <row r="105" spans="1:11" ht="18.75">
      <c r="A105" s="104"/>
      <c r="B105" s="60"/>
      <c r="C105" s="61"/>
      <c r="D105" s="61">
        <v>7664</v>
      </c>
      <c r="E105" s="61"/>
      <c r="F105" s="61"/>
      <c r="G105" s="61">
        <v>8</v>
      </c>
      <c r="H105" s="61"/>
      <c r="I105" s="64">
        <f>'Таблица 12 Поправки'!D25</f>
        <v>2</v>
      </c>
      <c r="J105" s="60"/>
      <c r="K105" s="60"/>
    </row>
    <row r="106" spans="1:11" ht="18.75">
      <c r="A106" s="102">
        <v>22</v>
      </c>
      <c r="B106" s="60" t="s">
        <v>204</v>
      </c>
      <c r="C106" s="61">
        <v>2909</v>
      </c>
      <c r="D106" s="61"/>
      <c r="E106" s="61"/>
      <c r="F106" s="65">
        <f>C106-D109</f>
        <v>2642</v>
      </c>
      <c r="G106" s="61"/>
      <c r="H106" s="65">
        <f>AVERAGE(F106:F107)</f>
        <v>2644</v>
      </c>
      <c r="I106" s="65">
        <f>I104-I105</f>
        <v>6</v>
      </c>
      <c r="J106" s="66">
        <f>K106+C106/1000</f>
        <v>86.105999999999995</v>
      </c>
      <c r="K106" s="66">
        <f>K103</f>
        <v>83.196999999999989</v>
      </c>
    </row>
    <row r="107" spans="1:11" ht="18.75">
      <c r="A107" s="103"/>
      <c r="B107" s="60"/>
      <c r="C107" s="61">
        <v>7698</v>
      </c>
      <c r="D107" s="61"/>
      <c r="E107" s="61"/>
      <c r="F107" s="65">
        <f>C107-D110</f>
        <v>2646</v>
      </c>
      <c r="G107" s="61"/>
      <c r="H107" s="64">
        <f>'Таблица 12 Поправки'!D26</f>
        <v>1</v>
      </c>
      <c r="I107" s="61"/>
      <c r="J107" s="99">
        <f>AVERAGE(J106,J109)</f>
        <v>86.107499999999987</v>
      </c>
      <c r="K107" s="60"/>
    </row>
    <row r="108" spans="1:11" ht="18.75">
      <c r="A108" s="103"/>
      <c r="B108" s="60" t="s">
        <v>164</v>
      </c>
      <c r="C108" s="61"/>
      <c r="D108" s="61"/>
      <c r="E108" s="61">
        <v>2117</v>
      </c>
      <c r="F108" s="61"/>
      <c r="G108" s="61"/>
      <c r="H108" s="65">
        <f>H106+H107</f>
        <v>2645</v>
      </c>
      <c r="I108" s="61"/>
      <c r="J108" s="105"/>
      <c r="K108" s="67">
        <f>J107-E108/1000</f>
        <v>83.990499999999983</v>
      </c>
    </row>
    <row r="109" spans="1:11" ht="18.75">
      <c r="A109" s="103"/>
      <c r="B109" s="60" t="s">
        <v>165</v>
      </c>
      <c r="C109" s="61"/>
      <c r="D109" s="61">
        <v>267</v>
      </c>
      <c r="E109" s="61"/>
      <c r="F109" s="61"/>
      <c r="G109" s="61"/>
      <c r="H109" s="61"/>
      <c r="I109" s="61"/>
      <c r="J109" s="67">
        <f>K109+D109/1000</f>
        <v>86.10899999999998</v>
      </c>
      <c r="K109" s="66">
        <f>K106+H108/1000</f>
        <v>85.841999999999985</v>
      </c>
    </row>
    <row r="110" spans="1:11">
      <c r="A110" s="104"/>
      <c r="B110" s="60"/>
      <c r="C110" s="61"/>
      <c r="D110" s="61">
        <v>5052</v>
      </c>
      <c r="E110" s="61"/>
      <c r="F110" s="61"/>
      <c r="G110" s="61"/>
      <c r="H110" s="61"/>
      <c r="I110" s="61"/>
      <c r="J110" s="60"/>
      <c r="K110" s="60"/>
    </row>
    <row r="111" spans="1:11" ht="18.75">
      <c r="A111" s="102">
        <v>23</v>
      </c>
      <c r="B111" s="60" t="s">
        <v>165</v>
      </c>
      <c r="C111" s="61">
        <v>1836</v>
      </c>
      <c r="D111" s="61"/>
      <c r="E111" s="61"/>
      <c r="F111" s="65">
        <f>C111-D117</f>
        <v>1315</v>
      </c>
      <c r="G111" s="61"/>
      <c r="H111" s="65">
        <f>AVERAGE(F111:F112)</f>
        <v>1314</v>
      </c>
      <c r="I111" s="61"/>
      <c r="J111" s="66">
        <f>K111+C111/1000</f>
        <v>87.677999999999983</v>
      </c>
      <c r="K111" s="66">
        <f>K109</f>
        <v>85.841999999999985</v>
      </c>
    </row>
    <row r="112" spans="1:11" ht="18.75">
      <c r="A112" s="103"/>
      <c r="B112" s="60"/>
      <c r="C112" s="61">
        <v>6623</v>
      </c>
      <c r="D112" s="61"/>
      <c r="E112" s="61"/>
      <c r="F112" s="65">
        <f>C112-D118</f>
        <v>1313</v>
      </c>
      <c r="G112" s="61"/>
      <c r="H112" s="64">
        <f>'Таблица 12 Поправки'!D27</f>
        <v>2</v>
      </c>
      <c r="I112" s="61"/>
      <c r="J112" s="106">
        <f>AVERAGE(J111,J117)</f>
        <v>87.678499999999985</v>
      </c>
      <c r="K112" s="54">
        <f>$J$112-E113/1000</f>
        <v>84.731499999999983</v>
      </c>
    </row>
    <row r="113" spans="1:11" ht="18.75">
      <c r="A113" s="103"/>
      <c r="B113" s="60" t="s">
        <v>166</v>
      </c>
      <c r="C113" s="61"/>
      <c r="D113" s="61"/>
      <c r="E113" s="61">
        <v>2947</v>
      </c>
      <c r="F113" s="61"/>
      <c r="G113" s="61"/>
      <c r="H113" s="65">
        <f>H111+H112</f>
        <v>1316</v>
      </c>
      <c r="I113" s="61"/>
      <c r="J113" s="107"/>
      <c r="K113" s="54">
        <f t="shared" ref="K113:K115" si="1">$J$112-E114/1000</f>
        <v>86.140499999999989</v>
      </c>
    </row>
    <row r="114" spans="1:11" ht="18.75">
      <c r="A114" s="103"/>
      <c r="B114" s="60" t="s">
        <v>167</v>
      </c>
      <c r="C114" s="61"/>
      <c r="D114" s="61"/>
      <c r="E114" s="61">
        <v>1538</v>
      </c>
      <c r="F114" s="61"/>
      <c r="G114" s="61"/>
      <c r="H114" s="61"/>
      <c r="I114" s="61"/>
      <c r="J114" s="107"/>
      <c r="K114" s="54">
        <f t="shared" si="1"/>
        <v>85.032499999999985</v>
      </c>
    </row>
    <row r="115" spans="1:11" ht="18.75">
      <c r="A115" s="103"/>
      <c r="B115" s="60" t="s">
        <v>168</v>
      </c>
      <c r="C115" s="61"/>
      <c r="D115" s="61"/>
      <c r="E115" s="61">
        <v>2646</v>
      </c>
      <c r="F115" s="61"/>
      <c r="G115" s="61"/>
      <c r="H115" s="61"/>
      <c r="I115" s="61"/>
      <c r="J115" s="107"/>
      <c r="K115" s="54">
        <f t="shared" si="1"/>
        <v>86.989499999999992</v>
      </c>
    </row>
    <row r="116" spans="1:11">
      <c r="A116" s="103"/>
      <c r="B116" s="60" t="s">
        <v>169</v>
      </c>
      <c r="C116" s="61"/>
      <c r="D116" s="61"/>
      <c r="E116" s="61">
        <v>689</v>
      </c>
      <c r="F116" s="61"/>
      <c r="G116" s="61"/>
      <c r="H116" s="61"/>
      <c r="I116" s="61"/>
      <c r="J116" s="105"/>
    </row>
    <row r="117" spans="1:11" ht="18.75">
      <c r="A117" s="103"/>
      <c r="B117" s="60" t="s">
        <v>170</v>
      </c>
      <c r="C117" s="61"/>
      <c r="D117" s="61">
        <v>521</v>
      </c>
      <c r="E117" s="61"/>
      <c r="F117" s="61"/>
      <c r="G117" s="61"/>
      <c r="H117" s="61"/>
      <c r="I117" s="61"/>
      <c r="J117" s="66">
        <f>K117+D117/1000</f>
        <v>87.678999999999988</v>
      </c>
      <c r="K117" s="66">
        <f>K111+H113/1000</f>
        <v>87.157999999999987</v>
      </c>
    </row>
    <row r="118" spans="1:11">
      <c r="A118" s="104"/>
      <c r="B118" s="60"/>
      <c r="C118" s="61"/>
      <c r="D118" s="61">
        <v>5310</v>
      </c>
      <c r="E118" s="61"/>
      <c r="F118" s="61"/>
      <c r="G118" s="61"/>
      <c r="H118" s="61"/>
      <c r="I118" s="61"/>
      <c r="J118" s="60"/>
      <c r="K118" s="60"/>
    </row>
    <row r="119" spans="1:11" ht="18.75">
      <c r="A119" s="102">
        <v>24</v>
      </c>
      <c r="B119" s="60" t="s">
        <v>170</v>
      </c>
      <c r="C119" s="61">
        <v>2938</v>
      </c>
      <c r="D119" s="61"/>
      <c r="E119" s="61"/>
      <c r="F119" s="65">
        <f>C119-D120</f>
        <v>2627</v>
      </c>
      <c r="G119" s="61"/>
      <c r="H119" s="65">
        <f>AVERAGE(F119:F120)</f>
        <v>2626.5</v>
      </c>
      <c r="I119" s="61"/>
      <c r="J119" s="60"/>
      <c r="K119" s="66">
        <f>K117</f>
        <v>87.157999999999987</v>
      </c>
    </row>
    <row r="120" spans="1:11" ht="18.75">
      <c r="A120" s="103"/>
      <c r="B120" s="60" t="s">
        <v>171</v>
      </c>
      <c r="C120" s="61">
        <v>7725</v>
      </c>
      <c r="D120" s="61">
        <v>311</v>
      </c>
      <c r="E120" s="61"/>
      <c r="F120" s="65">
        <f>C120-D121</f>
        <v>2626</v>
      </c>
      <c r="G120" s="61"/>
      <c r="H120" s="64">
        <f>'Таблица 12 Поправки'!D28</f>
        <v>1</v>
      </c>
      <c r="I120" s="61"/>
      <c r="J120" s="60"/>
      <c r="K120" s="67">
        <f>K119+H121/1000</f>
        <v>89.785499999999985</v>
      </c>
    </row>
    <row r="121" spans="1:11" ht="18.75">
      <c r="A121" s="104"/>
      <c r="B121" s="60"/>
      <c r="C121" s="61"/>
      <c r="D121" s="61">
        <v>5099</v>
      </c>
      <c r="E121" s="61"/>
      <c r="F121" s="61"/>
      <c r="G121" s="61"/>
      <c r="H121" s="65">
        <f>H119+H120</f>
        <v>2627.5</v>
      </c>
      <c r="I121" s="61"/>
      <c r="J121" s="60"/>
      <c r="K121" s="60"/>
    </row>
    <row r="122" spans="1:11" ht="32.25" customHeight="1">
      <c r="A122" s="102">
        <v>25</v>
      </c>
      <c r="B122" s="60" t="s">
        <v>171</v>
      </c>
      <c r="C122" s="61">
        <v>872</v>
      </c>
      <c r="D122" s="61"/>
      <c r="E122" s="61"/>
      <c r="F122" s="65">
        <f>C122-D125</f>
        <v>127</v>
      </c>
      <c r="G122" s="61"/>
      <c r="H122" s="65">
        <f>AVERAGE(F122:F123)</f>
        <v>127</v>
      </c>
      <c r="I122" s="61"/>
      <c r="J122" s="66">
        <f>K122+C122/1000</f>
        <v>90.657499999999985</v>
      </c>
      <c r="K122" s="67">
        <f>K120</f>
        <v>89.785499999999985</v>
      </c>
    </row>
    <row r="123" spans="1:11" ht="18.75">
      <c r="A123" s="103"/>
      <c r="B123" s="60"/>
      <c r="C123" s="61">
        <v>5659</v>
      </c>
      <c r="D123" s="61"/>
      <c r="E123" s="61"/>
      <c r="F123" s="65">
        <f>C123-D126</f>
        <v>127</v>
      </c>
      <c r="G123" s="61"/>
      <c r="H123" s="64">
        <f>'Таблица 12 Поправки'!D29</f>
        <v>1</v>
      </c>
      <c r="I123" s="61"/>
      <c r="J123" s="99">
        <f>AVERAGE(J122,J125)</f>
        <v>90.657999999999987</v>
      </c>
      <c r="K123" s="60"/>
    </row>
    <row r="124" spans="1:11" ht="18.75">
      <c r="A124" s="103"/>
      <c r="B124" s="60">
        <v>72</v>
      </c>
      <c r="C124" s="61"/>
      <c r="D124" s="61"/>
      <c r="E124" s="61">
        <v>2912</v>
      </c>
      <c r="F124" s="61"/>
      <c r="G124" s="61"/>
      <c r="H124" s="65">
        <f>H122+H123</f>
        <v>128</v>
      </c>
      <c r="I124" s="61"/>
      <c r="J124" s="105"/>
      <c r="K124" s="66">
        <f>J123-E124/1000</f>
        <v>87.745999999999981</v>
      </c>
    </row>
    <row r="125" spans="1:11" ht="18.75">
      <c r="A125" s="103"/>
      <c r="B125" s="60" t="s">
        <v>172</v>
      </c>
      <c r="C125" s="61"/>
      <c r="D125" s="61">
        <v>745</v>
      </c>
      <c r="E125" s="61"/>
      <c r="F125" s="61"/>
      <c r="G125" s="61"/>
      <c r="H125" s="61"/>
      <c r="I125" s="61"/>
      <c r="J125" s="67">
        <f>K125+D125/1000</f>
        <v>90.658499999999989</v>
      </c>
      <c r="K125" s="67">
        <f>K122+H124/1000</f>
        <v>89.913499999999985</v>
      </c>
    </row>
    <row r="126" spans="1:11">
      <c r="A126" s="104"/>
      <c r="B126" s="60"/>
      <c r="C126" s="61"/>
      <c r="D126" s="61">
        <v>5532</v>
      </c>
      <c r="E126" s="61"/>
      <c r="F126" s="61"/>
      <c r="G126" s="61"/>
      <c r="H126" s="61"/>
      <c r="I126" s="61"/>
      <c r="J126" s="60"/>
      <c r="K126" s="60"/>
    </row>
    <row r="127" spans="1:11" ht="18.75">
      <c r="A127" s="102">
        <v>26</v>
      </c>
      <c r="B127" s="60" t="s">
        <v>172</v>
      </c>
      <c r="C127" s="61">
        <v>2608</v>
      </c>
      <c r="D127" s="61"/>
      <c r="E127" s="61"/>
      <c r="F127" s="65">
        <f>C127-D128</f>
        <v>2127</v>
      </c>
      <c r="G127" s="61"/>
      <c r="H127" s="65">
        <f>AVERAGE(F127:F128)</f>
        <v>2125.5</v>
      </c>
      <c r="I127" s="61"/>
      <c r="J127" s="60"/>
      <c r="K127" s="67">
        <f>K125</f>
        <v>89.913499999999985</v>
      </c>
    </row>
    <row r="128" spans="1:11" ht="18.75">
      <c r="A128" s="103"/>
      <c r="B128" s="60" t="s">
        <v>124</v>
      </c>
      <c r="C128" s="61">
        <v>7394</v>
      </c>
      <c r="D128" s="61">
        <v>481</v>
      </c>
      <c r="E128" s="61"/>
      <c r="F128" s="65">
        <f>C128-D129</f>
        <v>2124</v>
      </c>
      <c r="G128" s="61"/>
      <c r="H128" s="64">
        <f>'Таблица 12 Поправки'!D30</f>
        <v>1</v>
      </c>
      <c r="I128" s="61"/>
      <c r="J128" s="60"/>
      <c r="K128" s="66">
        <f>K127+H129/1000</f>
        <v>92.039999999999992</v>
      </c>
    </row>
    <row r="129" spans="1:11" ht="18.75">
      <c r="A129" s="104"/>
      <c r="B129" s="60"/>
      <c r="C129" s="61"/>
      <c r="D129" s="61">
        <v>5270</v>
      </c>
      <c r="E129" s="61"/>
      <c r="F129" s="61"/>
      <c r="G129" s="61"/>
      <c r="H129" s="65">
        <f>H127+H128</f>
        <v>2126.5</v>
      </c>
      <c r="I129" s="61"/>
      <c r="J129" s="60"/>
      <c r="K129" s="60"/>
    </row>
    <row r="130" spans="1:11">
      <c r="B130" s="47"/>
      <c r="C130" s="47"/>
      <c r="D130" s="47"/>
      <c r="E130" s="47"/>
      <c r="F130" s="47"/>
      <c r="G130" s="47"/>
      <c r="H130" s="47"/>
      <c r="I130" s="47"/>
    </row>
    <row r="139" spans="1:11">
      <c r="A139" s="3"/>
    </row>
    <row r="140" spans="1:11">
      <c r="A140" s="3"/>
    </row>
    <row r="141" spans="1:11">
      <c r="A141" s="3"/>
    </row>
    <row r="142" spans="1:11">
      <c r="A142" s="3"/>
    </row>
    <row r="143" spans="1:11">
      <c r="A143" s="3"/>
    </row>
    <row r="144" spans="1:11">
      <c r="A144" s="3"/>
    </row>
    <row r="145" spans="1:1">
      <c r="A145" s="3"/>
    </row>
    <row r="146" spans="1:1">
      <c r="A146" s="3"/>
    </row>
    <row r="147" spans="1:1">
      <c r="A147" s="3"/>
    </row>
    <row r="148" spans="1:1">
      <c r="A148" s="3"/>
    </row>
    <row r="149" spans="1:1">
      <c r="A149" s="3"/>
    </row>
    <row r="150" spans="1:1">
      <c r="A150" s="3"/>
    </row>
    <row r="151" spans="1:1">
      <c r="A151" s="3"/>
    </row>
    <row r="152" spans="1:1">
      <c r="A152" s="3"/>
    </row>
    <row r="153" spans="1:1">
      <c r="A153" s="3"/>
    </row>
    <row r="154" spans="1:1">
      <c r="A154" s="3"/>
    </row>
    <row r="155" spans="1:1">
      <c r="A155" s="3"/>
    </row>
    <row r="156" spans="1:1">
      <c r="A156" s="3"/>
    </row>
    <row r="157" spans="1:1">
      <c r="A157" s="3"/>
    </row>
    <row r="158" spans="1:1">
      <c r="A158" s="3"/>
    </row>
    <row r="159" spans="1:1">
      <c r="A159" s="3"/>
    </row>
    <row r="160" spans="1:1">
      <c r="A160" s="3"/>
    </row>
    <row r="161" spans="1:1">
      <c r="A161" s="3"/>
    </row>
    <row r="162" spans="1:1">
      <c r="A162" s="3"/>
    </row>
    <row r="163" spans="1:1">
      <c r="A163" s="3"/>
    </row>
    <row r="164" spans="1:1">
      <c r="A164" s="3"/>
    </row>
    <row r="165" spans="1:1">
      <c r="A165" s="3"/>
    </row>
    <row r="166" spans="1:1">
      <c r="A166" s="3"/>
    </row>
    <row r="167" spans="1:1">
      <c r="A167" s="3"/>
    </row>
    <row r="168" spans="1:1">
      <c r="A168" s="3"/>
    </row>
  </sheetData>
  <mergeCells count="58">
    <mergeCell ref="A111:A118"/>
    <mergeCell ref="A119:A121"/>
    <mergeCell ref="A122:A126"/>
    <mergeCell ref="A127:A129"/>
    <mergeCell ref="L44:L45"/>
    <mergeCell ref="L87:L88"/>
    <mergeCell ref="J64:J65"/>
    <mergeCell ref="J73:J74"/>
    <mergeCell ref="J94:J95"/>
    <mergeCell ref="J107:J108"/>
    <mergeCell ref="J112:J116"/>
    <mergeCell ref="J123:J124"/>
    <mergeCell ref="A90:A92"/>
    <mergeCell ref="A93:A97"/>
    <mergeCell ref="A98:A101"/>
    <mergeCell ref="A102:A105"/>
    <mergeCell ref="A106:A110"/>
    <mergeCell ref="A68:A71"/>
    <mergeCell ref="A72:A76"/>
    <mergeCell ref="A77:A80"/>
    <mergeCell ref="A81:A84"/>
    <mergeCell ref="A47:A50"/>
    <mergeCell ref="A51:A54"/>
    <mergeCell ref="A55:A58"/>
    <mergeCell ref="A59:A62"/>
    <mergeCell ref="A63:A67"/>
    <mergeCell ref="L1:L2"/>
    <mergeCell ref="L33:L41"/>
    <mergeCell ref="J34:J39"/>
    <mergeCell ref="K87:K88"/>
    <mergeCell ref="A4:A7"/>
    <mergeCell ref="A8:A11"/>
    <mergeCell ref="A12:A15"/>
    <mergeCell ref="A16:A19"/>
    <mergeCell ref="A20:A24"/>
    <mergeCell ref="A25:A28"/>
    <mergeCell ref="A29:A32"/>
    <mergeCell ref="A33:A41"/>
    <mergeCell ref="A87:A88"/>
    <mergeCell ref="B87:B88"/>
    <mergeCell ref="C87:E87"/>
    <mergeCell ref="F87:G87"/>
    <mergeCell ref="H87:I87"/>
    <mergeCell ref="J87:J88"/>
    <mergeCell ref="K1:K2"/>
    <mergeCell ref="A44:A45"/>
    <mergeCell ref="B44:B45"/>
    <mergeCell ref="C44:E44"/>
    <mergeCell ref="F44:G44"/>
    <mergeCell ref="H44:I44"/>
    <mergeCell ref="J44:J45"/>
    <mergeCell ref="K44:K45"/>
    <mergeCell ref="A1:A2"/>
    <mergeCell ref="B1:B2"/>
    <mergeCell ref="C1:E1"/>
    <mergeCell ref="F1:G1"/>
    <mergeCell ref="H1:I1"/>
    <mergeCell ref="J1:J2"/>
  </mergeCells>
  <pageMargins left="0.7" right="0.7" top="0.75" bottom="0.75" header="0.3" footer="0.3"/>
  <pageSetup scale="55" orientation="portrait" r:id="rId1"/>
  <rowBreaks count="2" manualBreakCount="2">
    <brk id="43" max="16383" man="1"/>
    <brk id="86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1F961-D4BE-4058-81E6-282375BDB0A1}">
  <sheetPr codeName="Sheet13"/>
  <dimension ref="A1:D31"/>
  <sheetViews>
    <sheetView workbookViewId="0">
      <selection activeCell="D20" sqref="D20"/>
    </sheetView>
  </sheetViews>
  <sheetFormatPr defaultRowHeight="16.5"/>
  <sheetData>
    <row r="1" spans="1:4" ht="18.75">
      <c r="A1">
        <f>ROUNDDOWN('Таблица 13'!$D$2/8,0)</f>
        <v>1</v>
      </c>
      <c r="D1" s="59">
        <f>SUM(A1:B1)</f>
        <v>1</v>
      </c>
    </row>
    <row r="2" spans="1:4" ht="18.75">
      <c r="A2">
        <f>ROUNDDOWN('Таблица 13'!$D$2/8,0)</f>
        <v>1</v>
      </c>
      <c r="B2" s="58">
        <f>IF(ABS(SUM($A$1:$A$8) + ROUNDDOWN('Таблица 13'!$D$2/8,0)) &lt;= ABS('Таблица 13'!$D$2),ROUNDDOWN('Таблица 13'!$D$2/8,0),0)</f>
        <v>1</v>
      </c>
      <c r="D2" s="59">
        <f>SUM(A2:B2)</f>
        <v>2</v>
      </c>
    </row>
    <row r="3" spans="1:4" ht="18.75">
      <c r="A3">
        <f>ROUNDDOWN('Таблица 13'!$D$2/8,0)</f>
        <v>1</v>
      </c>
      <c r="D3" s="59">
        <f t="shared" ref="D3:D8" si="0">SUM(A3:B3)</f>
        <v>1</v>
      </c>
    </row>
    <row r="4" spans="1:4" ht="18.75">
      <c r="A4">
        <f>ROUNDDOWN('Таблица 13'!$D$2/8,0)</f>
        <v>1</v>
      </c>
      <c r="B4" s="58">
        <f>IF(ABS(SUM($A$1:$A$8,$B$1:B3) + ROUNDDOWN('Таблица 13'!$D$2/8,0)) &lt;= ABS('Таблица 13'!$D$2),ROUNDDOWN('Таблица 13'!$D$2/8,0),0)</f>
        <v>1</v>
      </c>
      <c r="D4" s="59">
        <f t="shared" si="0"/>
        <v>2</v>
      </c>
    </row>
    <row r="5" spans="1:4" ht="18.75">
      <c r="A5">
        <f>ROUNDDOWN('Таблица 13'!$D$2/8,0)</f>
        <v>1</v>
      </c>
      <c r="D5" s="59">
        <f t="shared" si="0"/>
        <v>1</v>
      </c>
    </row>
    <row r="6" spans="1:4" ht="18.75">
      <c r="A6">
        <f>ROUNDDOWN('Таблица 13'!$D$2/8,0)</f>
        <v>1</v>
      </c>
      <c r="B6" s="58">
        <f>IF(ABS(SUM($A$1:$A$8,$B$1:B5) + ROUNDDOWN('Таблица 13'!$D$2/8,0)) &lt;= ABS('Таблица 13'!$D$2),ROUNDDOWN('Таблица 13'!$D$2/8,0),0)</f>
        <v>0</v>
      </c>
      <c r="D6" s="59">
        <f t="shared" si="0"/>
        <v>1</v>
      </c>
    </row>
    <row r="7" spans="1:4" ht="18.75">
      <c r="A7">
        <f>ROUNDDOWN('Таблица 13'!$D$2/8,0)</f>
        <v>1</v>
      </c>
      <c r="D7" s="59">
        <f t="shared" si="0"/>
        <v>1</v>
      </c>
    </row>
    <row r="8" spans="1:4" ht="18.75">
      <c r="A8">
        <f>ROUNDDOWN('Таблица 13'!$D$2/8,0)</f>
        <v>1</v>
      </c>
      <c r="B8" s="58">
        <f>IF(ABS(SUM($A$1:$A$8,$B$1:B7) + ROUNDDOWN('Таблица 13'!$D$2/8,0)) &lt;= ABS('Таблица 13'!$D$2),ROUNDDOWN('Таблица 13'!$D$2/8,0),0)</f>
        <v>0</v>
      </c>
      <c r="D8" s="59">
        <f t="shared" si="0"/>
        <v>1</v>
      </c>
    </row>
    <row r="9" spans="1:4">
      <c r="D9">
        <f>SUM(D1:D8)</f>
        <v>10</v>
      </c>
    </row>
    <row r="11" spans="1:4" ht="18.75">
      <c r="A11">
        <f>ROUNDDOWN('Таблица 13'!$D$3/9,0)</f>
        <v>1</v>
      </c>
      <c r="D11" s="59">
        <f>SUM(A11:B11)</f>
        <v>1</v>
      </c>
    </row>
    <row r="12" spans="1:4" ht="18.75">
      <c r="A12">
        <f>ROUNDDOWN('Таблица 13'!$D$3/9,0)</f>
        <v>1</v>
      </c>
      <c r="B12" s="58">
        <f>IF(ABS(SUM($A$11:$A$19) + ROUNDDOWN('Таблица 13'!$D$3/9,0)) &lt;= ABS('Таблица 13'!$D$3),ROUNDDOWN('Таблица 13'!$D$3/9,0),0)</f>
        <v>1</v>
      </c>
      <c r="D12" s="59">
        <f t="shared" ref="D12:D19" si="1">SUM(A12:B12)</f>
        <v>2</v>
      </c>
    </row>
    <row r="13" spans="1:4" ht="18.75">
      <c r="A13">
        <f>ROUNDDOWN('Таблица 13'!$D$3/9,0)</f>
        <v>1</v>
      </c>
      <c r="D13" s="59">
        <f t="shared" si="1"/>
        <v>1</v>
      </c>
    </row>
    <row r="14" spans="1:4" ht="18.75">
      <c r="A14">
        <f>ROUNDDOWN('Таблица 13'!$D$3/9,0)</f>
        <v>1</v>
      </c>
      <c r="B14" s="58">
        <f>IF(ABS(SUM($A$11:$A$19,$B$11:B13) + ROUNDDOWN('Таблица 13'!$D$3/9,0)) &lt;= ABS('Таблица 13'!$D$3),ROUNDDOWN('Таблица 13'!$D$3/9,0),0)</f>
        <v>1</v>
      </c>
      <c r="D14" s="59">
        <f t="shared" si="1"/>
        <v>2</v>
      </c>
    </row>
    <row r="15" spans="1:4" ht="18.75">
      <c r="A15">
        <f>ROUNDDOWN('Таблица 13'!$D$3/9,0)</f>
        <v>1</v>
      </c>
      <c r="D15" s="59">
        <f t="shared" si="1"/>
        <v>1</v>
      </c>
    </row>
    <row r="16" spans="1:4" ht="18.75">
      <c r="A16">
        <f>ROUNDDOWN('Таблица 13'!$D$3/9,0)</f>
        <v>1</v>
      </c>
      <c r="B16" s="58">
        <f>IF(ABS(SUM($A$11:$A$19,$B$11:B15) + ROUNDDOWN('Таблица 13'!$D$3/9,0)) &lt;= ABS('Таблица 13'!$D$3),ROUNDDOWN('Таблица 13'!$D$3/9,0),0)</f>
        <v>1</v>
      </c>
      <c r="D16" s="59">
        <f t="shared" si="1"/>
        <v>2</v>
      </c>
    </row>
    <row r="17" spans="1:4" ht="18.75">
      <c r="A17">
        <f>ROUNDDOWN('Таблица 13'!$D$3/9,0)</f>
        <v>1</v>
      </c>
      <c r="D17" s="59">
        <f t="shared" si="1"/>
        <v>1</v>
      </c>
    </row>
    <row r="18" spans="1:4" ht="18.75">
      <c r="A18">
        <f>ROUNDDOWN('Таблица 13'!$D$3/9,0)</f>
        <v>1</v>
      </c>
      <c r="B18" s="58">
        <f>IF(ABS(SUM($A$11:$A$19,$B$11:B17) + ROUNDDOWN('Таблица 13'!$D$3/9,0)) &lt;= ABS('Таблица 13'!$D$3),ROUNDDOWN('Таблица 13'!$D$3/9,0),0)</f>
        <v>0</v>
      </c>
      <c r="D18" s="59">
        <f t="shared" si="1"/>
        <v>1</v>
      </c>
    </row>
    <row r="19" spans="1:4" ht="18.75">
      <c r="A19">
        <f>ROUNDDOWN('Таблица 13'!$D$3/9,0)</f>
        <v>1</v>
      </c>
      <c r="D19" s="59">
        <f t="shared" si="1"/>
        <v>1</v>
      </c>
    </row>
    <row r="20" spans="1:4">
      <c r="D20">
        <f>SUM(D11:D19)</f>
        <v>12</v>
      </c>
    </row>
    <row r="22" spans="1:4" ht="18.75">
      <c r="A22">
        <f>ROUNDDOWN('Таблица 13'!$D$4/9,0)</f>
        <v>1</v>
      </c>
      <c r="D22" s="59">
        <f>SUM(A22:B22)</f>
        <v>1</v>
      </c>
    </row>
    <row r="23" spans="1:4" ht="18.75">
      <c r="A23">
        <f>ROUNDDOWN('Таблица 13'!$D$4/9,0)</f>
        <v>1</v>
      </c>
      <c r="B23" s="58">
        <f>IF(ABS(SUM($A$22:$A$30) + ROUNDDOWN('Таблица 13'!$D$4/9,0)) &lt;= ABS('Таблица 13'!$D$4),ROUNDDOWN('Таблица 13'!$D$4/9,0),0)</f>
        <v>1</v>
      </c>
      <c r="D23" s="59">
        <f t="shared" ref="D23:D30" si="2">SUM(A23:B23)</f>
        <v>2</v>
      </c>
    </row>
    <row r="24" spans="1:4" ht="18.75">
      <c r="A24">
        <f>ROUNDDOWN('Таблица 13'!$D$4/9,0)</f>
        <v>1</v>
      </c>
      <c r="D24" s="59">
        <f t="shared" si="2"/>
        <v>1</v>
      </c>
    </row>
    <row r="25" spans="1:4" ht="18.75">
      <c r="A25">
        <f>ROUNDDOWN('Таблица 13'!$D$4/9,0)</f>
        <v>1</v>
      </c>
      <c r="B25" s="58">
        <f>IF(ABS(SUM($A$22:$A$30,$B$22:B24) + ROUNDDOWN('Таблица 13'!$D$4/9,0)) &lt;= ABS('Таблица 13'!$D$4),ROUNDDOWN('Таблица 13'!$D$4/9,0),0)</f>
        <v>1</v>
      </c>
      <c r="D25" s="59">
        <f t="shared" si="2"/>
        <v>2</v>
      </c>
    </row>
    <row r="26" spans="1:4" ht="18.75">
      <c r="A26">
        <f>ROUNDDOWN('Таблица 13'!$D$4/9,0)</f>
        <v>1</v>
      </c>
      <c r="D26" s="59">
        <f t="shared" si="2"/>
        <v>1</v>
      </c>
    </row>
    <row r="27" spans="1:4" ht="18.75">
      <c r="A27">
        <f>ROUNDDOWN('Таблица 13'!$D$4/9,0)</f>
        <v>1</v>
      </c>
      <c r="B27" s="58">
        <f>IF(ABS(SUM($A$22:$A$30,$B$22:B26) + ROUNDDOWN('Таблица 13'!$D$4/9,0)) &lt;= ABS('Таблица 13'!$D$4),ROUNDDOWN('Таблица 13'!$D$4/9,0),0)</f>
        <v>1</v>
      </c>
      <c r="D27" s="59">
        <f t="shared" si="2"/>
        <v>2</v>
      </c>
    </row>
    <row r="28" spans="1:4" ht="18.75">
      <c r="A28">
        <f>ROUNDDOWN('Таблица 13'!$D$4/9,0)</f>
        <v>1</v>
      </c>
      <c r="D28" s="59">
        <f t="shared" si="2"/>
        <v>1</v>
      </c>
    </row>
    <row r="29" spans="1:4" ht="18.75">
      <c r="A29">
        <f>ROUNDDOWN('Таблица 13'!$D$4/9,0)</f>
        <v>1</v>
      </c>
      <c r="B29" s="58">
        <f>IF(ABS(SUM($A$22:$A$30,$B$22:B28) + ROUNDDOWN('Таблица 13'!$D$4/9,0)) &lt;= ABS('Таблица 13'!$D$4),ROUNDDOWN('Таблица 13'!$D$4/9,0),0)</f>
        <v>0</v>
      </c>
      <c r="D29" s="59">
        <f t="shared" si="2"/>
        <v>1</v>
      </c>
    </row>
    <row r="30" spans="1:4" ht="18.75">
      <c r="A30">
        <f>ROUNDDOWN('Таблица 13'!$D$4/9,0)</f>
        <v>1</v>
      </c>
      <c r="D30" s="59">
        <f t="shared" si="2"/>
        <v>1</v>
      </c>
    </row>
    <row r="31" spans="1:4">
      <c r="D31">
        <f>SUM(D22:D30)</f>
        <v>12</v>
      </c>
    </row>
  </sheetData>
  <sheetProtection algorithmName="SHA-512" hashValue="/nSgcYoyJag5P7fiLgv156Z/yTzMtGrD5PxdD9GchKlNMOKD11jwGpB2/JSZr3fS7dJvHOsDsi7tbnVMYLavMA==" saltValue="zIwzZQh5bbOsW+Hb6z/BOA==" spinCount="100000" sheet="1" objects="1" scenarios="1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5" operator="notEqual" id="{C629B14B-A5A5-4EDC-B4A4-E2144387FAC4}">
            <xm:f>'Таблица 13'!$D$2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ellIs" priority="6" operator="equal" id="{0C514F49-D721-4E1A-97C1-207B0AB14C0A}">
            <xm:f>'Таблица 13'!$D$2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D9</xm:sqref>
        </x14:conditionalFormatting>
        <x14:conditionalFormatting xmlns:xm="http://schemas.microsoft.com/office/excel/2006/main">
          <x14:cfRule type="cellIs" priority="3" operator="notEqual" id="{7F15B9DC-2038-4952-AA76-2371A4280F21}">
            <xm:f>'Таблица 13'!$D$3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ellIs" priority="4" operator="equal" id="{FD8D932A-6676-4F1C-B7C6-76395292F15A}">
            <xm:f>'Таблица 13'!$D$3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D20</xm:sqref>
        </x14:conditionalFormatting>
        <x14:conditionalFormatting xmlns:xm="http://schemas.microsoft.com/office/excel/2006/main">
          <x14:cfRule type="cellIs" priority="1" operator="notEqual" id="{EE561D32-C5D5-4376-9283-B0E61519EFFD}">
            <xm:f>'Таблица 13'!$D$3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ellIs" priority="2" operator="equal" id="{B9BDD225-01BD-4050-A96C-9CFB399A1AA4}">
            <xm:f>'Таблица 13'!$D$3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D31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990E3-930C-4768-B5E4-70E346A6B358}">
  <sheetPr codeName="Sheet14"/>
  <dimension ref="A1:D31"/>
  <sheetViews>
    <sheetView workbookViewId="0">
      <selection sqref="A1:D9"/>
    </sheetView>
  </sheetViews>
  <sheetFormatPr defaultRowHeight="16.5"/>
  <sheetData>
    <row r="1" spans="1:4" ht="18.75">
      <c r="A1">
        <f>ROUNDDOWN('Таблица 13'!$D$2/8,0)</f>
        <v>1</v>
      </c>
      <c r="D1" s="59">
        <f>SUM(A1:B1)</f>
        <v>1</v>
      </c>
    </row>
    <row r="2" spans="1:4" ht="18.75">
      <c r="A2">
        <f>ROUNDDOWN('Таблица 13'!$D$2/8,0)</f>
        <v>1</v>
      </c>
      <c r="B2" s="58">
        <f>IF(ABS(SUM($A$1:$A$8) + ROUND('Таблица 13'!$D$2/8,0)) &lt;= ABS('Таблица 13'!$D$2),ROUND('Таблица 13'!$D$2/8,0),0)</f>
        <v>1</v>
      </c>
      <c r="D2" s="59">
        <f>SUM(A2:B2)</f>
        <v>2</v>
      </c>
    </row>
    <row r="3" spans="1:4" ht="18.75">
      <c r="A3">
        <f>ROUNDDOWN('Таблица 13'!$D$2/8,0)</f>
        <v>1</v>
      </c>
      <c r="D3" s="59">
        <f t="shared" ref="D3:D8" si="0">SUM(A3:B3)</f>
        <v>1</v>
      </c>
    </row>
    <row r="4" spans="1:4" ht="18.75">
      <c r="A4">
        <f>ROUNDDOWN('Таблица 13'!$D$2/8,0)</f>
        <v>1</v>
      </c>
      <c r="B4" s="58">
        <f>IF(ABS(SUM($A$1:$A$8,$B$1:B3) + ROUND('Таблица 13'!$D$2/8,0)) &lt;= ABS('Таблица 13'!$D$2),ROUND('Таблица 13'!$D$2/8,0),0)</f>
        <v>1</v>
      </c>
      <c r="D4" s="59">
        <f t="shared" si="0"/>
        <v>2</v>
      </c>
    </row>
    <row r="5" spans="1:4" ht="18.75">
      <c r="A5">
        <f>ROUNDDOWN('Таблица 13'!$D$2/8,0)</f>
        <v>1</v>
      </c>
      <c r="D5" s="59">
        <f t="shared" si="0"/>
        <v>1</v>
      </c>
    </row>
    <row r="6" spans="1:4" ht="18.75">
      <c r="A6">
        <f>ROUNDDOWN('Таблица 13'!$D$2/8,0)</f>
        <v>1</v>
      </c>
      <c r="B6" s="58">
        <f>IF(ABS(SUM($A$1:$A$8,$B$1:B5) + ROUND('Таблица 13'!$D$2/8,0)) &lt;= ABS('Таблица 13'!$D$2),ROUND('Таблица 13'!$D$2/8,0),0)</f>
        <v>0</v>
      </c>
      <c r="D6" s="59">
        <f t="shared" si="0"/>
        <v>1</v>
      </c>
    </row>
    <row r="7" spans="1:4" ht="18.75">
      <c r="A7">
        <f>ROUNDDOWN('Таблица 13'!$D$2/8,0)</f>
        <v>1</v>
      </c>
      <c r="D7" s="59">
        <f t="shared" si="0"/>
        <v>1</v>
      </c>
    </row>
    <row r="8" spans="1:4" ht="18.75">
      <c r="A8">
        <f>ROUNDDOWN('Таблица 13'!$D$2/8,0)</f>
        <v>1</v>
      </c>
      <c r="B8" s="58">
        <f>IF(ABS(SUM($A$1:$A$8,$B$1:B7) + ROUND('Таблица 13'!$D$2/8,0)) &lt;= ABS('Таблица 13'!$D$2),ROUND('Таблица 13'!$D$2/8,0),0)</f>
        <v>0</v>
      </c>
      <c r="D8" s="59">
        <f t="shared" si="0"/>
        <v>1</v>
      </c>
    </row>
    <row r="9" spans="1:4">
      <c r="D9">
        <f>SUM(D1:D8)</f>
        <v>10</v>
      </c>
    </row>
    <row r="11" spans="1:4" ht="18.75">
      <c r="A11">
        <f>ROUNDDOWN('Таблица 13'!$D$3/9,0)</f>
        <v>1</v>
      </c>
      <c r="D11" s="59">
        <f>SUM(A11:B11)</f>
        <v>1</v>
      </c>
    </row>
    <row r="12" spans="1:4" ht="18.75">
      <c r="A12">
        <f>ROUNDDOWN('Таблица 13'!$D$3/9,0)</f>
        <v>1</v>
      </c>
      <c r="B12" s="58">
        <f>IF(ABS(SUM($A$11:$A$19) + ROUND('Таблица 13'!$D$3/9,0)) &lt;= ABS('Таблица 13'!$D$3),ROUND('Таблица 13'!$D$3/9,0),0)</f>
        <v>1</v>
      </c>
      <c r="D12" s="59">
        <f t="shared" ref="D12:D19" si="1">SUM(A12:B12)</f>
        <v>2</v>
      </c>
    </row>
    <row r="13" spans="1:4" ht="18.75">
      <c r="A13">
        <f>ROUNDDOWN('Таблица 13'!$D$3/9,0)</f>
        <v>1</v>
      </c>
      <c r="B13" s="58"/>
      <c r="D13" s="59">
        <f t="shared" si="1"/>
        <v>1</v>
      </c>
    </row>
    <row r="14" spans="1:4" ht="18.75">
      <c r="A14">
        <f>ROUNDDOWN('Таблица 13'!$D$3/9,0)</f>
        <v>1</v>
      </c>
      <c r="B14" s="58">
        <f>IF(ABS(SUM($A$11:$A$19) + ROUND('Таблица 13'!$D$3/9,0)) &lt;= ABS('Таблица 13'!$D$3),ROUND('Таблица 13'!$D$3/9,0),0)</f>
        <v>1</v>
      </c>
      <c r="D14" s="59">
        <f t="shared" si="1"/>
        <v>2</v>
      </c>
    </row>
    <row r="15" spans="1:4" ht="18.75">
      <c r="A15">
        <f>ROUNDDOWN('Таблица 13'!$D$3/9,0)</f>
        <v>1</v>
      </c>
      <c r="B15" s="58"/>
      <c r="D15" s="59">
        <f t="shared" si="1"/>
        <v>1</v>
      </c>
    </row>
    <row r="16" spans="1:4" ht="18.75">
      <c r="A16">
        <f>ROUNDDOWN('Таблица 13'!$D$3/9,0)</f>
        <v>1</v>
      </c>
      <c r="B16" s="58">
        <f>IF(ABS(SUM($A$11:$A$19) + ROUND('Таблица 13'!$D$3/9,0)) &lt;= ABS('Таблица 13'!$D$3),ROUND('Таблица 13'!$D$3/9,0),0)</f>
        <v>1</v>
      </c>
      <c r="D16" s="59">
        <f t="shared" si="1"/>
        <v>2</v>
      </c>
    </row>
    <row r="17" spans="1:4" ht="18.75">
      <c r="A17">
        <f>ROUNDDOWN('Таблица 13'!$D$3/9,0)</f>
        <v>1</v>
      </c>
      <c r="B17" s="58"/>
      <c r="D17" s="59">
        <f t="shared" si="1"/>
        <v>1</v>
      </c>
    </row>
    <row r="18" spans="1:4" ht="18.75">
      <c r="A18">
        <f>ROUNDDOWN('Таблица 13'!$D$3/9,0)</f>
        <v>1</v>
      </c>
      <c r="B18" s="58">
        <f>IF(ABS(SUM($A$11:$A$19) + ROUND('Таблица 13'!$D$3/9,0)) &lt;= ABS('Таблица 13'!$D$3),ROUND('Таблица 13'!$D$3/9,0),0)</f>
        <v>1</v>
      </c>
      <c r="D18" s="59">
        <f t="shared" si="1"/>
        <v>2</v>
      </c>
    </row>
    <row r="19" spans="1:4" ht="18.75">
      <c r="A19">
        <f>ROUNDDOWN('Таблица 13'!$D$3/9,0)</f>
        <v>1</v>
      </c>
      <c r="B19" s="58"/>
      <c r="D19" s="59">
        <f t="shared" si="1"/>
        <v>1</v>
      </c>
    </row>
    <row r="20" spans="1:4">
      <c r="D20">
        <f>SUM(D11:D19)</f>
        <v>13</v>
      </c>
    </row>
    <row r="22" spans="1:4" ht="18.75">
      <c r="A22">
        <f>ROUNDDOWN('Таблица 13'!$D$4/9,0)</f>
        <v>1</v>
      </c>
      <c r="D22" s="59">
        <f>SUM(A22:B22)</f>
        <v>1</v>
      </c>
    </row>
    <row r="23" spans="1:4" ht="18.75">
      <c r="A23">
        <f>ROUNDDOWN('Таблица 13'!$D$4/9,0)</f>
        <v>1</v>
      </c>
      <c r="B23" s="58">
        <f>IF(ABS(SUM($A$22:$A$30) + ROUNDDOWN('Таблица 13'!$D$4/9,0)) &lt;= ABS('Таблица 13'!$D$4),ROUNDDOWN('Таблица 13'!$D$4/9,0),0)</f>
        <v>1</v>
      </c>
      <c r="D23" s="59">
        <f t="shared" ref="D23:D30" si="2">SUM(A23:B23)</f>
        <v>2</v>
      </c>
    </row>
    <row r="24" spans="1:4" ht="18.75">
      <c r="A24">
        <f>ROUNDDOWN('Таблица 13'!$D$4/9,0)</f>
        <v>1</v>
      </c>
      <c r="D24" s="59">
        <f t="shared" si="2"/>
        <v>1</v>
      </c>
    </row>
    <row r="25" spans="1:4" ht="18.75">
      <c r="A25">
        <f>ROUNDDOWN('Таблица 13'!$D$4/9,0)</f>
        <v>1</v>
      </c>
      <c r="B25" s="58">
        <f>IF(ABS(SUM($A$22:$A$30,$B$22:B24) + ROUNDDOWN('Таблица 13'!$D$4/9,0)) &lt;= ABS('Таблица 13'!$D$4),ROUNDDOWN('Таблица 13'!$D$4/9,0),0)</f>
        <v>1</v>
      </c>
      <c r="D25" s="59">
        <f t="shared" si="2"/>
        <v>2</v>
      </c>
    </row>
    <row r="26" spans="1:4" ht="18.75">
      <c r="A26">
        <f>ROUNDDOWN('Таблица 13'!$D$4/9,0)</f>
        <v>1</v>
      </c>
      <c r="D26" s="59">
        <f t="shared" si="2"/>
        <v>1</v>
      </c>
    </row>
    <row r="27" spans="1:4" ht="18.75">
      <c r="A27">
        <f>ROUNDDOWN('Таблица 13'!$D$4/9,0)</f>
        <v>1</v>
      </c>
      <c r="B27" s="58">
        <f>IF(ABS(SUM($A$22:$A$30,$B$22:B26) + ROUNDDOWN('Таблица 13'!$D$4/9,0)) &lt;= ABS('Таблица 13'!$D$4),ROUNDDOWN('Таблица 13'!$D$4/9,0),0)</f>
        <v>1</v>
      </c>
      <c r="D27" s="59">
        <f t="shared" si="2"/>
        <v>2</v>
      </c>
    </row>
    <row r="28" spans="1:4" ht="18.75">
      <c r="A28">
        <f>ROUNDDOWN('Таблица 13'!$D$4/9,0)</f>
        <v>1</v>
      </c>
      <c r="D28" s="59">
        <f t="shared" si="2"/>
        <v>1</v>
      </c>
    </row>
    <row r="29" spans="1:4" ht="18.75">
      <c r="A29">
        <f>ROUNDDOWN('Таблица 13'!$D$4/9,0)</f>
        <v>1</v>
      </c>
      <c r="B29" s="58">
        <f>IF(ABS(SUM($A$22:$A$30,$B$22:B28) + ROUNDDOWN('Таблица 13'!$D$4/9,0)) &lt;= ABS('Таблица 13'!$D$4),ROUNDDOWN('Таблица 13'!$D$4/9,0),0)</f>
        <v>0</v>
      </c>
      <c r="D29" s="59">
        <f t="shared" si="2"/>
        <v>1</v>
      </c>
    </row>
    <row r="30" spans="1:4" ht="18.75">
      <c r="A30">
        <f>ROUNDDOWN('Таблица 13'!$D$4/9,0)</f>
        <v>1</v>
      </c>
      <c r="D30" s="59">
        <f t="shared" si="2"/>
        <v>1</v>
      </c>
    </row>
    <row r="31" spans="1:4">
      <c r="D31">
        <f>SUM(D22:D30)</f>
        <v>12</v>
      </c>
    </row>
  </sheetData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5" operator="notEqual" id="{2AC817F6-FA62-449A-A981-82762EC601F1}">
            <xm:f>'Таблица 13'!$D$2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ellIs" priority="6" operator="equal" id="{3B8D876E-BCA6-47CE-9893-DD0C3A2FDEAD}">
            <xm:f>'Таблица 13'!$D$2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D9</xm:sqref>
        </x14:conditionalFormatting>
        <x14:conditionalFormatting xmlns:xm="http://schemas.microsoft.com/office/excel/2006/main">
          <x14:cfRule type="cellIs" priority="3" operator="notEqual" id="{A990B336-789C-4865-8133-162DA063D16C}">
            <xm:f>'Таблица 13'!$D$3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ellIs" priority="4" operator="equal" id="{7C3DE165-0209-49BA-83FF-8E163137C421}">
            <xm:f>'Таблица 13'!$D$3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D20</xm:sqref>
        </x14:conditionalFormatting>
        <x14:conditionalFormatting xmlns:xm="http://schemas.microsoft.com/office/excel/2006/main">
          <x14:cfRule type="cellIs" priority="1" operator="notEqual" id="{1E17B6D8-557C-4AB7-A40E-89E418DAE595}">
            <xm:f>'Таблица 13'!$D$3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ellIs" priority="2" operator="equal" id="{4F602545-6CF0-4E79-AF5E-65AE75CD60E0}">
            <xm:f>'Таблица 13'!$D$3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D31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6F34B-F05E-4830-8F38-9909F05BEE85}">
  <sheetPr codeName="Sheet15"/>
  <dimension ref="A1:H29"/>
  <sheetViews>
    <sheetView zoomScaleNormal="100" workbookViewId="0">
      <selection activeCell="E28" sqref="E28"/>
    </sheetView>
  </sheetViews>
  <sheetFormatPr defaultRowHeight="16.5"/>
  <cols>
    <col min="1" max="1" width="8.88671875" style="73"/>
  </cols>
  <sheetData>
    <row r="1" spans="1:8" ht="15" customHeight="1">
      <c r="A1" s="77" t="s">
        <v>130</v>
      </c>
      <c r="B1" s="77" t="s">
        <v>139</v>
      </c>
      <c r="D1" s="3" t="s">
        <v>206</v>
      </c>
    </row>
    <row r="2" spans="1:8" ht="18.75">
      <c r="A2" s="70" t="s">
        <v>188</v>
      </c>
      <c r="B2">
        <f>'Таблица 12'!K6</f>
        <v>105.67099999999999</v>
      </c>
      <c r="C2" s="76"/>
      <c r="D2">
        <v>103.5</v>
      </c>
      <c r="G2">
        <v>91.2</v>
      </c>
    </row>
    <row r="3" spans="1:8" ht="18.75">
      <c r="A3" s="70" t="s">
        <v>189</v>
      </c>
      <c r="B3">
        <f>'Таблица 12'!K10</f>
        <v>103.133</v>
      </c>
      <c r="C3" s="76"/>
      <c r="D3">
        <f>$D$2-$G$3*H3</f>
        <v>102.55384615384615</v>
      </c>
      <c r="G3">
        <f>($D$2-$G$2)/1.3</f>
        <v>9.4615384615384599</v>
      </c>
      <c r="H3">
        <v>0.1</v>
      </c>
    </row>
    <row r="4" spans="1:8" ht="18.75">
      <c r="A4" s="70" t="s">
        <v>190</v>
      </c>
      <c r="B4">
        <f>'Таблица 12'!K18</f>
        <v>98.343999999999994</v>
      </c>
      <c r="C4" s="76"/>
      <c r="D4">
        <f t="shared" ref="D4:D19" si="0">$D$2-$G$3*H4</f>
        <v>101.6076923076923</v>
      </c>
      <c r="F4">
        <f>D2-G4</f>
        <v>101.6076923076923</v>
      </c>
      <c r="G4">
        <f>0.2*G3</f>
        <v>1.892307692307692</v>
      </c>
      <c r="H4">
        <v>0.2</v>
      </c>
    </row>
    <row r="5" spans="1:8" ht="18.75">
      <c r="A5" s="70">
        <v>35</v>
      </c>
      <c r="B5">
        <f>'Таблица 12'!K21</f>
        <v>96.286999999999992</v>
      </c>
      <c r="C5" s="76"/>
      <c r="D5">
        <v>0</v>
      </c>
    </row>
    <row r="6" spans="1:8" ht="18.75">
      <c r="A6" s="70" t="s">
        <v>191</v>
      </c>
      <c r="B6">
        <f>'Таблица 12'!K22</f>
        <v>96.399000000000001</v>
      </c>
      <c r="C6" s="76"/>
      <c r="D6">
        <f t="shared" si="0"/>
        <v>100.66153846153846</v>
      </c>
      <c r="H6">
        <v>0.3</v>
      </c>
    </row>
    <row r="7" spans="1:8" ht="18.75">
      <c r="A7" s="70" t="s">
        <v>192</v>
      </c>
      <c r="B7">
        <f>'Таблица 12'!K30</f>
        <v>101.017</v>
      </c>
      <c r="C7" s="76"/>
      <c r="D7">
        <f t="shared" si="0"/>
        <v>99.715384615384622</v>
      </c>
      <c r="H7">
        <v>0.4</v>
      </c>
    </row>
    <row r="8" spans="1:8" ht="18.75">
      <c r="A8" s="70">
        <v>71</v>
      </c>
      <c r="B8">
        <f>'Таблица 12'!K34</f>
        <v>102.66549999999999</v>
      </c>
      <c r="C8" s="76"/>
      <c r="D8">
        <v>0</v>
      </c>
    </row>
    <row r="9" spans="1:8" ht="18.75">
      <c r="A9" s="70" t="s">
        <v>122</v>
      </c>
      <c r="B9">
        <f>'Таблица 12'!K40</f>
        <v>102.164</v>
      </c>
      <c r="C9" s="76"/>
      <c r="D9">
        <f t="shared" si="0"/>
        <v>98.769230769230774</v>
      </c>
      <c r="H9">
        <v>0.5</v>
      </c>
    </row>
    <row r="10" spans="1:8" ht="18.75">
      <c r="A10" s="71" t="s">
        <v>154</v>
      </c>
      <c r="B10">
        <f>'Таблица 12'!K48</f>
        <v>99.664000000000001</v>
      </c>
      <c r="C10" s="76"/>
      <c r="D10">
        <f t="shared" si="0"/>
        <v>97.823076923076925</v>
      </c>
      <c r="H10">
        <v>0.6</v>
      </c>
    </row>
    <row r="11" spans="1:8" ht="18.75">
      <c r="A11" s="72" t="s">
        <v>155</v>
      </c>
      <c r="B11">
        <f>'Таблица 12'!K56</f>
        <v>94.869</v>
      </c>
      <c r="C11" s="76"/>
      <c r="D11">
        <f t="shared" si="0"/>
        <v>96.876923076923077</v>
      </c>
      <c r="H11">
        <v>0.7</v>
      </c>
    </row>
    <row r="12" spans="1:8" ht="18.75">
      <c r="A12" s="72" t="s">
        <v>156</v>
      </c>
      <c r="B12">
        <f>'Таблица 12'!K60</f>
        <v>93.188999999999993</v>
      </c>
      <c r="C12" s="76"/>
      <c r="D12">
        <f t="shared" si="0"/>
        <v>95.930769230769229</v>
      </c>
      <c r="H12">
        <v>0.8</v>
      </c>
    </row>
    <row r="13" spans="1:8" ht="18.75">
      <c r="A13" s="71">
        <v>29</v>
      </c>
      <c r="B13">
        <f>'Таблица 12'!K65</f>
        <v>91.18249999999999</v>
      </c>
      <c r="C13" s="76"/>
      <c r="D13">
        <v>0</v>
      </c>
    </row>
    <row r="14" spans="1:8" ht="18.75">
      <c r="A14" s="72" t="s">
        <v>157</v>
      </c>
      <c r="B14">
        <f>'Таблица 12'!K66</f>
        <v>91.903999999999996</v>
      </c>
      <c r="C14" s="76"/>
      <c r="D14">
        <f t="shared" si="0"/>
        <v>94.984615384615381</v>
      </c>
      <c r="H14">
        <v>0.9</v>
      </c>
    </row>
    <row r="15" spans="1:8" ht="18.75">
      <c r="A15" s="72" t="s">
        <v>158</v>
      </c>
      <c r="B15">
        <f>'Таблица 12'!K70</f>
        <v>94.1</v>
      </c>
      <c r="C15" s="76"/>
      <c r="D15">
        <f t="shared" si="0"/>
        <v>94.038461538461547</v>
      </c>
      <c r="H15">
        <v>1</v>
      </c>
    </row>
    <row r="16" spans="1:8" ht="18.75">
      <c r="A16" s="71">
        <v>75</v>
      </c>
      <c r="B16">
        <f>'Таблица 12'!K74</f>
        <v>95.23599999999999</v>
      </c>
      <c r="C16" s="76"/>
      <c r="D16">
        <v>0</v>
      </c>
    </row>
    <row r="17" spans="1:8" ht="18.75">
      <c r="A17" s="72" t="s">
        <v>193</v>
      </c>
      <c r="B17">
        <f>'Таблица 12'!K75</f>
        <v>93.97399999999999</v>
      </c>
      <c r="C17" s="76"/>
      <c r="D17">
        <f t="shared" si="0"/>
        <v>93.092307692307699</v>
      </c>
      <c r="H17">
        <v>1.1000000000000001</v>
      </c>
    </row>
    <row r="18" spans="1:8" ht="18.75">
      <c r="A18" s="72" t="s">
        <v>160</v>
      </c>
      <c r="B18">
        <f>'Таблица 12'!K82</f>
        <v>89.415999999999983</v>
      </c>
      <c r="C18" s="76"/>
      <c r="D18">
        <f t="shared" si="0"/>
        <v>92.146153846153851</v>
      </c>
      <c r="H18">
        <v>1.2</v>
      </c>
    </row>
    <row r="19" spans="1:8" ht="18.75">
      <c r="A19" s="71" t="s">
        <v>161</v>
      </c>
      <c r="B19">
        <f>'Таблица 12'!K91</f>
        <v>87.173999999999978</v>
      </c>
      <c r="C19" s="76"/>
      <c r="D19">
        <f t="shared" si="0"/>
        <v>91.2</v>
      </c>
      <c r="H19">
        <v>1.3</v>
      </c>
    </row>
    <row r="20" spans="1:8" ht="18.75">
      <c r="A20" s="71" t="s">
        <v>162</v>
      </c>
      <c r="B20">
        <f>'Таблица 12'!K95</f>
        <v>84.804499999999976</v>
      </c>
      <c r="C20" s="76"/>
      <c r="D20">
        <f>$D$19</f>
        <v>91.2</v>
      </c>
    </row>
    <row r="21" spans="1:8" ht="18.75">
      <c r="A21" s="71">
        <v>50</v>
      </c>
      <c r="B21">
        <f>'Таблица 12'!K99</f>
        <v>83.202999999999989</v>
      </c>
      <c r="C21" s="76"/>
      <c r="D21">
        <f t="shared" ref="D21:D25" si="1">$D$19</f>
        <v>91.2</v>
      </c>
    </row>
    <row r="22" spans="1:8">
      <c r="A22" s="73" t="s">
        <v>194</v>
      </c>
      <c r="B22">
        <f>'Сечение реки'!B4</f>
        <v>78.422999999999988</v>
      </c>
      <c r="C22" s="76"/>
      <c r="D22">
        <f t="shared" si="1"/>
        <v>91.2</v>
      </c>
    </row>
    <row r="23" spans="1:8" ht="18.75">
      <c r="A23" s="71">
        <v>49</v>
      </c>
      <c r="B23">
        <f>'Таблица 12'!K103</f>
        <v>83.196999999999989</v>
      </c>
      <c r="C23" s="76"/>
      <c r="D23">
        <f t="shared" si="1"/>
        <v>91.2</v>
      </c>
    </row>
    <row r="24" spans="1:8" ht="18.75">
      <c r="A24" s="71" t="s">
        <v>164</v>
      </c>
      <c r="B24">
        <f>'Таблица 12'!K108</f>
        <v>83.990499999999983</v>
      </c>
      <c r="C24" s="76"/>
      <c r="D24">
        <f t="shared" si="1"/>
        <v>91.2</v>
      </c>
    </row>
    <row r="25" spans="1:8" ht="18.75">
      <c r="A25" s="71" t="s">
        <v>165</v>
      </c>
      <c r="B25">
        <f>'Таблица 12'!K109</f>
        <v>85.841999999999985</v>
      </c>
      <c r="C25" s="76"/>
      <c r="D25">
        <f t="shared" si="1"/>
        <v>91.2</v>
      </c>
    </row>
    <row r="26" spans="1:8" ht="18.75">
      <c r="A26" s="71" t="s">
        <v>170</v>
      </c>
      <c r="B26">
        <f>'Таблица 12'!K117</f>
        <v>87.157999999999987</v>
      </c>
      <c r="C26" s="76"/>
      <c r="D26">
        <v>1</v>
      </c>
    </row>
    <row r="27" spans="1:8" ht="18.75">
      <c r="A27" s="71" t="s">
        <v>171</v>
      </c>
      <c r="B27">
        <f>'Таблица 12'!K120</f>
        <v>89.785499999999985</v>
      </c>
      <c r="C27" s="76"/>
      <c r="D27">
        <v>1</v>
      </c>
    </row>
    <row r="28" spans="1:8" ht="18.75">
      <c r="A28" s="71">
        <v>72</v>
      </c>
      <c r="B28">
        <f>'Таблица 12'!K124</f>
        <v>87.745999999999981</v>
      </c>
      <c r="C28" s="76"/>
      <c r="D28">
        <v>1</v>
      </c>
    </row>
    <row r="29" spans="1:8" ht="18.75">
      <c r="A29" s="71" t="s">
        <v>172</v>
      </c>
      <c r="B29">
        <f>'Таблица 12'!K125</f>
        <v>89.913499999999985</v>
      </c>
      <c r="C29" s="76"/>
      <c r="D29">
        <v>1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4F92D-5226-4AE4-9796-59BC676BDDCD}">
  <sheetPr codeName="Sheet16"/>
  <dimension ref="A1:B8"/>
  <sheetViews>
    <sheetView workbookViewId="0">
      <selection activeCell="A8" sqref="A8"/>
    </sheetView>
  </sheetViews>
  <sheetFormatPr defaultRowHeight="16.5"/>
  <sheetData>
    <row r="1" spans="1:2" ht="18.75">
      <c r="A1" s="74" t="s">
        <v>163</v>
      </c>
      <c r="B1" s="75">
        <f>'Таблица 12'!K96</f>
        <v>84.719999999999985</v>
      </c>
    </row>
    <row r="8" spans="1:2" ht="18.75">
      <c r="A8" s="71" t="s">
        <v>124</v>
      </c>
      <c r="B8">
        <f>'Таблица 12'!K128</f>
        <v>92.039999999999992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6DE8D-F073-467B-87ED-3A5E10A5F1D3}">
  <sheetPr codeName="Sheet10"/>
  <dimension ref="A1:F10"/>
  <sheetViews>
    <sheetView zoomScaleNormal="100" workbookViewId="0">
      <selection activeCell="D1" sqref="D1"/>
    </sheetView>
  </sheetViews>
  <sheetFormatPr defaultColWidth="8.6640625" defaultRowHeight="16.5"/>
  <cols>
    <col min="1" max="1" width="10.6640625" customWidth="1"/>
    <col min="3" max="3" width="12" customWidth="1"/>
    <col min="4" max="4" width="10.88671875" customWidth="1"/>
    <col min="5" max="5" width="13.109375" customWidth="1"/>
    <col min="6" max="6" width="10.88671875" customWidth="1"/>
  </cols>
  <sheetData>
    <row r="1" spans="1:6" s="2" customFormat="1" ht="82.5">
      <c r="A1" s="2" t="s">
        <v>116</v>
      </c>
      <c r="B1" s="2" t="s">
        <v>117</v>
      </c>
      <c r="C1" s="2" t="s">
        <v>118</v>
      </c>
      <c r="D1" s="2" t="s">
        <v>119</v>
      </c>
      <c r="E1" s="2" t="s">
        <v>128</v>
      </c>
      <c r="F1" s="2" t="s">
        <v>120</v>
      </c>
    </row>
    <row r="2" spans="1:6" s="3" customFormat="1">
      <c r="A2" s="3" t="s">
        <v>121</v>
      </c>
      <c r="B2" s="3">
        <v>8</v>
      </c>
      <c r="C2" s="3">
        <v>-3065</v>
      </c>
      <c r="D2" s="40">
        <f>-ROUND(($B$9*B2)/SUM($B$2:$B$4),0)</f>
        <v>10</v>
      </c>
      <c r="E2" s="40">
        <f>C2+D2</f>
        <v>-3055</v>
      </c>
      <c r="F2" s="26">
        <f>'Исходные Данные 2'!$B$2+(E2/1000)</f>
        <v>102.16399999999999</v>
      </c>
    </row>
    <row r="3" spans="1:6" s="3" customFormat="1">
      <c r="A3" s="3" t="s">
        <v>122</v>
      </c>
      <c r="B3" s="3">
        <v>9</v>
      </c>
      <c r="C3" s="3">
        <v>-12760</v>
      </c>
      <c r="D3" s="40">
        <f>-ROUND(($B$9*B3)/SUM($B$2:$B$4),0)</f>
        <v>12</v>
      </c>
      <c r="E3" s="40">
        <f t="shared" ref="E3:E4" si="0">C3+D3</f>
        <v>-12748</v>
      </c>
      <c r="F3" s="26">
        <f>F2+(E3/1000)</f>
        <v>89.415999999999983</v>
      </c>
    </row>
    <row r="4" spans="1:6" s="3" customFormat="1">
      <c r="A4" s="3" t="s">
        <v>123</v>
      </c>
      <c r="B4" s="3">
        <v>9</v>
      </c>
      <c r="C4" s="3">
        <v>2614</v>
      </c>
      <c r="D4" s="40">
        <f>-ROUND(($B$9*B4)/SUM($B$2:$B$4),0)</f>
        <v>12</v>
      </c>
      <c r="E4" s="40">
        <f t="shared" si="0"/>
        <v>2626</v>
      </c>
      <c r="F4" s="26">
        <f>F3+(E4/1000)</f>
        <v>92.041999999999987</v>
      </c>
    </row>
    <row r="5" spans="1:6" s="3" customFormat="1">
      <c r="A5" s="3" t="s">
        <v>124</v>
      </c>
    </row>
    <row r="6" spans="1:6">
      <c r="F6" s="43" t="str">
        <f>IF(OR('Исходные Данные 2'!B2 &lt; 0, E2&gt;0),"ТУТ МОЖЕТ БЫТЬ ОШИБКА"," ")</f>
        <v xml:space="preserve"> </v>
      </c>
    </row>
    <row r="7" spans="1:6">
      <c r="A7" s="38" t="s">
        <v>125</v>
      </c>
      <c r="B7" s="42">
        <f>'Исходные Данные 2'!$C$2-'Исходные Данные 2'!$B$2</f>
        <v>-13.176999999999992</v>
      </c>
    </row>
    <row r="8" spans="1:6">
      <c r="A8" s="38" t="s">
        <v>126</v>
      </c>
      <c r="B8" s="42">
        <f>SUM(C2:C4)/1000</f>
        <v>-13.211</v>
      </c>
    </row>
    <row r="9" spans="1:6">
      <c r="A9" s="38" t="s">
        <v>90</v>
      </c>
      <c r="B9" s="42">
        <f>(B8-B7)*1000</f>
        <v>-34.000000000007802</v>
      </c>
    </row>
    <row r="10" spans="1:6">
      <c r="A10" s="39" t="s">
        <v>127</v>
      </c>
      <c r="B10" s="41">
        <f>50*SQRT(2.2)</f>
        <v>74.16198487095663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4386B-D09E-4720-81DF-E7FA2AAFA94C}">
  <sheetPr codeName="Sheet17"/>
  <dimension ref="A1:L43"/>
  <sheetViews>
    <sheetView workbookViewId="0">
      <selection activeCell="J32" sqref="J32"/>
    </sheetView>
  </sheetViews>
  <sheetFormatPr defaultRowHeight="16.5"/>
  <cols>
    <col min="1" max="1" width="8.88671875" style="3"/>
  </cols>
  <sheetData>
    <row r="1" spans="1:12">
      <c r="A1" s="88" t="s">
        <v>129</v>
      </c>
      <c r="B1" s="88" t="s">
        <v>130</v>
      </c>
      <c r="C1" s="91" t="s">
        <v>131</v>
      </c>
      <c r="D1" s="97"/>
      <c r="E1" s="92"/>
      <c r="F1" s="91" t="s">
        <v>135</v>
      </c>
      <c r="G1" s="92"/>
      <c r="H1" s="91" t="s">
        <v>137</v>
      </c>
      <c r="I1" s="92"/>
      <c r="J1" s="88" t="s">
        <v>138</v>
      </c>
      <c r="K1" s="88" t="s">
        <v>139</v>
      </c>
      <c r="L1" s="88" t="s">
        <v>152</v>
      </c>
    </row>
    <row r="2" spans="1:12" ht="33">
      <c r="A2" s="90"/>
      <c r="B2" s="90"/>
      <c r="C2" s="44" t="s">
        <v>133</v>
      </c>
      <c r="D2" s="44" t="s">
        <v>132</v>
      </c>
      <c r="E2" s="44" t="s">
        <v>134</v>
      </c>
      <c r="F2" s="2" t="s">
        <v>136</v>
      </c>
      <c r="G2" s="2" t="s">
        <v>56</v>
      </c>
      <c r="H2" s="2" t="s">
        <v>136</v>
      </c>
      <c r="I2" s="2" t="s">
        <v>56</v>
      </c>
      <c r="J2" s="90"/>
      <c r="K2" s="90"/>
      <c r="L2" s="90"/>
    </row>
    <row r="3" spans="1:12">
      <c r="A3" s="68">
        <v>1</v>
      </c>
      <c r="B3" s="45">
        <v>2</v>
      </c>
      <c r="C3" s="45">
        <v>3</v>
      </c>
      <c r="D3" s="45">
        <v>4</v>
      </c>
      <c r="E3" s="45">
        <v>5</v>
      </c>
      <c r="F3" s="45">
        <v>6</v>
      </c>
      <c r="G3" s="45">
        <v>7</v>
      </c>
      <c r="H3" s="45">
        <v>8</v>
      </c>
      <c r="I3" s="45">
        <v>9</v>
      </c>
      <c r="J3" s="45">
        <v>10</v>
      </c>
      <c r="K3" s="45">
        <v>11</v>
      </c>
      <c r="L3" s="45">
        <v>12</v>
      </c>
    </row>
    <row r="4" spans="1:12" ht="18.75">
      <c r="A4" s="102">
        <v>1</v>
      </c>
      <c r="B4" s="3" t="s">
        <v>163</v>
      </c>
      <c r="C4" s="46">
        <v>466</v>
      </c>
      <c r="D4" s="46"/>
      <c r="E4" s="46"/>
      <c r="F4" s="46"/>
      <c r="G4" s="46"/>
      <c r="H4" s="46"/>
      <c r="I4" s="46"/>
      <c r="J4" s="46"/>
      <c r="K4" s="50">
        <f>'Таблица 12'!K96</f>
        <v>84.719999999999985</v>
      </c>
      <c r="L4" s="3"/>
    </row>
    <row r="5" spans="1:12" ht="18.75">
      <c r="A5" s="103"/>
      <c r="B5" s="3"/>
      <c r="C5" s="46">
        <v>5263</v>
      </c>
      <c r="D5" s="46"/>
      <c r="E5" s="46"/>
      <c r="F5" s="46"/>
      <c r="G5" s="46"/>
      <c r="H5" s="46"/>
      <c r="I5" s="46"/>
      <c r="J5" s="46"/>
      <c r="K5" s="66">
        <f>K4-I8/1000</f>
        <v>83.700999999999979</v>
      </c>
      <c r="L5" s="3"/>
    </row>
    <row r="6" spans="1:12">
      <c r="A6" s="103"/>
      <c r="B6" s="3" t="s">
        <v>183</v>
      </c>
      <c r="C6" s="46"/>
      <c r="D6" s="46">
        <v>1483</v>
      </c>
      <c r="E6" s="46"/>
      <c r="F6" s="46"/>
      <c r="G6" s="46">
        <v>1017</v>
      </c>
      <c r="H6" s="46"/>
      <c r="I6" s="46">
        <v>1017</v>
      </c>
      <c r="J6" s="46"/>
      <c r="K6" s="3"/>
      <c r="L6" s="3"/>
    </row>
    <row r="7" spans="1:12" ht="18.75">
      <c r="A7" s="104"/>
      <c r="B7" s="3"/>
      <c r="C7" s="46"/>
      <c r="D7" s="46">
        <v>6270</v>
      </c>
      <c r="E7" s="46"/>
      <c r="F7" s="46"/>
      <c r="G7" s="46">
        <v>1017</v>
      </c>
      <c r="H7" s="46"/>
      <c r="I7" s="49">
        <v>-2</v>
      </c>
      <c r="J7" s="46"/>
      <c r="K7" s="3"/>
      <c r="L7" s="3"/>
    </row>
    <row r="8" spans="1:12" ht="18.75">
      <c r="A8" s="102">
        <v>2</v>
      </c>
      <c r="B8" s="3" t="s">
        <v>183</v>
      </c>
      <c r="C8" s="46">
        <v>755</v>
      </c>
      <c r="D8" s="46"/>
      <c r="E8" s="46"/>
      <c r="F8" s="46"/>
      <c r="G8" s="46"/>
      <c r="H8" s="46"/>
      <c r="I8" s="79">
        <f>I6-I7</f>
        <v>1019</v>
      </c>
      <c r="J8" s="46"/>
      <c r="K8">
        <f>K5</f>
        <v>83.700999999999979</v>
      </c>
      <c r="L8" s="3"/>
    </row>
    <row r="9" spans="1:12" ht="18.75">
      <c r="A9" s="103"/>
      <c r="B9" s="3"/>
      <c r="C9" s="46">
        <v>5540</v>
      </c>
      <c r="D9" s="46"/>
      <c r="E9" s="46"/>
      <c r="F9" s="46"/>
      <c r="G9" s="46"/>
      <c r="H9" s="46"/>
      <c r="I9" s="46"/>
      <c r="J9" s="46"/>
      <c r="K9" s="66">
        <f>K8-I12/1000</f>
        <v>83.442999999999984</v>
      </c>
      <c r="L9" s="3"/>
    </row>
    <row r="10" spans="1:12">
      <c r="A10" s="103"/>
      <c r="B10" s="3" t="s">
        <v>184</v>
      </c>
      <c r="C10" s="46"/>
      <c r="D10" s="46">
        <v>1009</v>
      </c>
      <c r="E10" s="46"/>
      <c r="F10" s="46"/>
      <c r="G10" s="46">
        <v>254</v>
      </c>
      <c r="H10" s="46"/>
      <c r="I10" s="46">
        <v>255</v>
      </c>
      <c r="J10" s="46"/>
      <c r="L10" s="3"/>
    </row>
    <row r="11" spans="1:12" ht="18.75">
      <c r="A11" s="103"/>
      <c r="B11" s="3"/>
      <c r="C11" s="46"/>
      <c r="D11" s="46">
        <v>5796</v>
      </c>
      <c r="E11" s="46"/>
      <c r="F11" s="46"/>
      <c r="G11" s="46">
        <v>256</v>
      </c>
      <c r="H11" s="46"/>
      <c r="I11" s="49">
        <v>-3</v>
      </c>
      <c r="J11" s="46"/>
      <c r="L11" s="3"/>
    </row>
    <row r="12" spans="1:12" ht="18.75">
      <c r="A12" s="104"/>
      <c r="B12" s="3"/>
      <c r="C12" s="46"/>
      <c r="D12" s="46"/>
      <c r="E12" s="46"/>
      <c r="F12" s="46"/>
      <c r="G12" s="46"/>
      <c r="H12" s="46"/>
      <c r="I12" s="79">
        <f>I10-I11</f>
        <v>258</v>
      </c>
      <c r="J12" s="46"/>
      <c r="L12" s="3"/>
    </row>
    <row r="13" spans="1:12" ht="18.75">
      <c r="A13" s="102">
        <v>3</v>
      </c>
      <c r="B13" s="3" t="s">
        <v>184</v>
      </c>
      <c r="C13" s="46">
        <v>1139</v>
      </c>
      <c r="D13" s="46"/>
      <c r="E13" s="46"/>
      <c r="F13" s="65">
        <f>C13-D15</f>
        <v>261</v>
      </c>
      <c r="G13" s="46"/>
      <c r="H13" s="65">
        <f>AVERAGE(F13:F14)</f>
        <v>260.5</v>
      </c>
      <c r="I13" s="46"/>
      <c r="J13" s="46"/>
      <c r="K13">
        <f>K9</f>
        <v>83.442999999999984</v>
      </c>
      <c r="L13" s="3"/>
    </row>
    <row r="14" spans="1:12" ht="18.75">
      <c r="A14" s="103"/>
      <c r="B14" s="3"/>
      <c r="C14" s="46">
        <v>5924</v>
      </c>
      <c r="D14" s="46"/>
      <c r="E14" s="46"/>
      <c r="F14" s="65">
        <f>C14-D16</f>
        <v>260</v>
      </c>
      <c r="G14" s="46"/>
      <c r="H14" s="78">
        <v>-2</v>
      </c>
      <c r="I14" s="46"/>
      <c r="J14" s="46"/>
      <c r="K14" s="66">
        <f>K13-H15/1000</f>
        <v>83.184499999999986</v>
      </c>
      <c r="L14" s="3"/>
    </row>
    <row r="15" spans="1:12" ht="18.75">
      <c r="A15" s="103"/>
      <c r="B15" s="3" t="s">
        <v>183</v>
      </c>
      <c r="C15" s="46"/>
      <c r="D15" s="46">
        <v>878</v>
      </c>
      <c r="E15" s="46"/>
      <c r="F15" s="46"/>
      <c r="G15" s="46"/>
      <c r="H15" s="79">
        <f>H13+H14</f>
        <v>258.5</v>
      </c>
      <c r="I15" s="46"/>
      <c r="J15" s="46"/>
      <c r="L15" s="3"/>
    </row>
    <row r="16" spans="1:12">
      <c r="A16" s="104"/>
      <c r="B16" s="3"/>
      <c r="C16" s="46"/>
      <c r="D16" s="46">
        <v>5664</v>
      </c>
      <c r="E16" s="46"/>
      <c r="F16" s="46"/>
      <c r="G16" s="46"/>
      <c r="H16" s="46"/>
      <c r="I16" s="46"/>
      <c r="J16" s="46"/>
      <c r="L16" s="3"/>
    </row>
    <row r="17" spans="1:12" ht="18.75">
      <c r="A17" s="102">
        <v>4</v>
      </c>
      <c r="B17" s="3" t="s">
        <v>183</v>
      </c>
      <c r="C17" s="46">
        <v>1635</v>
      </c>
      <c r="D17" s="46"/>
      <c r="E17" s="46"/>
      <c r="F17" s="69">
        <f>C17-D19</f>
        <v>-507</v>
      </c>
      <c r="G17" s="65">
        <f>ABS(C17-D19)</f>
        <v>507</v>
      </c>
      <c r="H17" s="46"/>
      <c r="I17" s="65">
        <f>AVERAGE(G17:G18)</f>
        <v>506.5</v>
      </c>
      <c r="J17" s="46"/>
      <c r="K17">
        <f>K14</f>
        <v>83.184499999999986</v>
      </c>
      <c r="L17" s="3"/>
    </row>
    <row r="18" spans="1:12" ht="18.75">
      <c r="A18" s="103"/>
      <c r="B18" s="3"/>
      <c r="C18" s="46">
        <v>6420</v>
      </c>
      <c r="D18" s="46"/>
      <c r="E18" s="46"/>
      <c r="F18" s="69">
        <f>C18-D20</f>
        <v>-506</v>
      </c>
      <c r="G18" s="65">
        <f>ABS(C18-D20)</f>
        <v>506</v>
      </c>
      <c r="H18" s="46"/>
      <c r="I18" s="78">
        <v>-3</v>
      </c>
      <c r="J18" s="46"/>
      <c r="K18" s="66">
        <f>K17-I19/1000</f>
        <v>82.674999999999983</v>
      </c>
      <c r="L18" s="3"/>
    </row>
    <row r="19" spans="1:12" ht="18.75">
      <c r="A19" s="103"/>
      <c r="B19" s="3" t="s">
        <v>185</v>
      </c>
      <c r="C19" s="46"/>
      <c r="D19" s="46">
        <v>2142</v>
      </c>
      <c r="E19" s="46"/>
      <c r="F19" s="46"/>
      <c r="G19" s="46"/>
      <c r="H19" s="46"/>
      <c r="I19" s="79">
        <f>I17-I18</f>
        <v>509.5</v>
      </c>
      <c r="J19" s="46"/>
      <c r="K19" s="3"/>
      <c r="L19" s="3"/>
    </row>
    <row r="20" spans="1:12">
      <c r="A20" s="104"/>
      <c r="B20" s="3"/>
      <c r="C20" s="46"/>
      <c r="D20" s="46">
        <v>6926</v>
      </c>
      <c r="E20" s="46"/>
      <c r="F20" s="46"/>
      <c r="G20" s="46"/>
      <c r="H20" s="46"/>
      <c r="I20" s="46"/>
      <c r="J20" s="46"/>
      <c r="K20" s="3"/>
      <c r="L20" s="3"/>
    </row>
    <row r="21" spans="1:12" ht="18.75">
      <c r="A21" s="102">
        <v>5</v>
      </c>
      <c r="B21" s="3" t="s">
        <v>185</v>
      </c>
      <c r="C21" s="46">
        <v>1872</v>
      </c>
      <c r="D21" s="46"/>
      <c r="E21" s="46"/>
      <c r="F21" s="65">
        <f>C21-D23</f>
        <v>1127</v>
      </c>
      <c r="G21" s="46"/>
      <c r="H21" s="65">
        <f>AVERAGE(F21:F22)</f>
        <v>1127</v>
      </c>
      <c r="I21" s="46"/>
      <c r="J21" s="46"/>
      <c r="K21">
        <f>K18</f>
        <v>82.674999999999983</v>
      </c>
      <c r="L21" s="3"/>
    </row>
    <row r="22" spans="1:12" ht="18.75">
      <c r="A22" s="103"/>
      <c r="B22" s="3"/>
      <c r="C22" s="46">
        <v>6659</v>
      </c>
      <c r="D22" s="46"/>
      <c r="E22" s="46"/>
      <c r="F22" s="65">
        <f>C22-D24</f>
        <v>1127</v>
      </c>
      <c r="G22" s="46"/>
      <c r="H22" s="78">
        <v>-2</v>
      </c>
      <c r="I22" s="46"/>
      <c r="J22" s="46"/>
      <c r="K22" s="66">
        <f>K21-H23/1000</f>
        <v>81.549999999999983</v>
      </c>
      <c r="L22" s="3"/>
    </row>
    <row r="23" spans="1:12" ht="18.75">
      <c r="A23" s="103"/>
      <c r="B23" s="3" t="s">
        <v>186</v>
      </c>
      <c r="C23" s="46"/>
      <c r="D23" s="46">
        <v>745</v>
      </c>
      <c r="E23" s="46"/>
      <c r="F23" s="46"/>
      <c r="G23" s="46"/>
      <c r="H23" s="79">
        <f>H21+H22</f>
        <v>1125</v>
      </c>
      <c r="I23" s="46"/>
      <c r="J23" s="46"/>
      <c r="K23" s="3"/>
      <c r="L23" s="3"/>
    </row>
    <row r="24" spans="1:12">
      <c r="A24" s="104"/>
      <c r="B24" s="3"/>
      <c r="C24" s="46"/>
      <c r="D24" s="46">
        <v>5532</v>
      </c>
      <c r="E24" s="46"/>
      <c r="F24" s="46"/>
      <c r="G24" s="46"/>
      <c r="H24" s="46"/>
      <c r="I24" s="46"/>
      <c r="J24" s="46"/>
      <c r="K24" s="3"/>
      <c r="L24" s="3"/>
    </row>
    <row r="25" spans="1:12" ht="18.75">
      <c r="A25" s="102">
        <v>6</v>
      </c>
      <c r="B25" s="3" t="s">
        <v>186</v>
      </c>
      <c r="C25" s="46">
        <v>327</v>
      </c>
      <c r="D25" s="46"/>
      <c r="E25" s="46"/>
      <c r="F25" s="69">
        <f>C25-D27</f>
        <v>-1362</v>
      </c>
      <c r="G25" s="65">
        <f>ABS(C25-D27)</f>
        <v>1362</v>
      </c>
      <c r="H25" s="46"/>
      <c r="I25" s="65">
        <f>AVERAGE(G25:G26)</f>
        <v>1363</v>
      </c>
      <c r="J25" s="46"/>
      <c r="K25">
        <f>K22</f>
        <v>81.549999999999983</v>
      </c>
      <c r="L25" s="3"/>
    </row>
    <row r="26" spans="1:12" ht="18.75">
      <c r="A26" s="103"/>
      <c r="B26" s="3"/>
      <c r="C26" s="46">
        <v>5111</v>
      </c>
      <c r="D26" s="46"/>
      <c r="E26" s="46"/>
      <c r="F26" s="69">
        <f>C26-D28</f>
        <v>-1364</v>
      </c>
      <c r="G26" s="65">
        <f>ABS(C26-D28)</f>
        <v>1364</v>
      </c>
      <c r="H26" s="46"/>
      <c r="I26" s="78">
        <v>-2</v>
      </c>
      <c r="J26" s="46"/>
      <c r="K26" s="66">
        <f>K25-I27/1000</f>
        <v>80.184999999999988</v>
      </c>
      <c r="L26" s="3"/>
    </row>
    <row r="27" spans="1:12" ht="18.75">
      <c r="A27" s="103"/>
      <c r="B27" s="3" t="s">
        <v>187</v>
      </c>
      <c r="C27" s="46"/>
      <c r="D27" s="46">
        <v>1689</v>
      </c>
      <c r="E27" s="46"/>
      <c r="F27" s="46"/>
      <c r="G27" s="46"/>
      <c r="H27" s="46"/>
      <c r="I27" s="79">
        <f>I25-I26</f>
        <v>1365</v>
      </c>
      <c r="J27" s="46"/>
      <c r="K27" s="3"/>
      <c r="L27" s="3"/>
    </row>
    <row r="28" spans="1:12">
      <c r="A28" s="104"/>
      <c r="B28" s="3"/>
      <c r="C28" s="46"/>
      <c r="D28" s="46">
        <v>6475</v>
      </c>
      <c r="E28" s="46"/>
      <c r="F28" s="46"/>
      <c r="G28" s="46"/>
      <c r="H28" s="46"/>
      <c r="I28" s="46"/>
      <c r="J28" s="46"/>
      <c r="K28" s="3"/>
      <c r="L28" s="3"/>
    </row>
    <row r="29" spans="1:12" ht="18.75">
      <c r="A29" s="102">
        <v>7</v>
      </c>
      <c r="B29" s="3" t="s">
        <v>187</v>
      </c>
      <c r="C29" s="46">
        <v>1581</v>
      </c>
      <c r="D29" s="46"/>
      <c r="E29" s="46"/>
      <c r="F29" s="65">
        <f>C29-D31</f>
        <v>1371</v>
      </c>
      <c r="G29" s="46"/>
      <c r="H29" s="65">
        <f>AVERAGE(F29:F30)</f>
        <v>1370.5</v>
      </c>
      <c r="I29" s="46"/>
      <c r="J29" s="46"/>
      <c r="K29">
        <f>K26</f>
        <v>80.184999999999988</v>
      </c>
      <c r="L29" s="3"/>
    </row>
    <row r="30" spans="1:12" ht="18.75">
      <c r="A30" s="103"/>
      <c r="B30" s="3"/>
      <c r="C30" s="46">
        <v>6367</v>
      </c>
      <c r="D30" s="46"/>
      <c r="E30" s="46"/>
      <c r="F30" s="65">
        <f>C30-D32</f>
        <v>1370</v>
      </c>
      <c r="G30" s="46"/>
      <c r="H30" s="78">
        <v>-2</v>
      </c>
      <c r="I30" s="46"/>
      <c r="J30" s="46"/>
      <c r="K30" s="66">
        <f>K29-H31/1000</f>
        <v>78.816499999999991</v>
      </c>
      <c r="L30" s="3"/>
    </row>
    <row r="31" spans="1:12" ht="18.75">
      <c r="A31" s="103"/>
      <c r="B31" s="3" t="s">
        <v>186</v>
      </c>
      <c r="C31" s="46"/>
      <c r="D31" s="46">
        <v>210</v>
      </c>
      <c r="E31" s="46"/>
      <c r="F31" s="46"/>
      <c r="G31" s="46"/>
      <c r="H31" s="79">
        <f>H29+H30</f>
        <v>1368.5</v>
      </c>
      <c r="I31" s="46"/>
      <c r="J31" s="46"/>
      <c r="K31" s="3"/>
      <c r="L31" s="3"/>
    </row>
    <row r="32" spans="1:12">
      <c r="A32" s="104"/>
      <c r="B32" s="3"/>
      <c r="C32" s="46"/>
      <c r="D32" s="46">
        <v>4997</v>
      </c>
      <c r="E32" s="46"/>
      <c r="F32" s="46"/>
      <c r="G32" s="46"/>
      <c r="H32" s="46"/>
      <c r="I32" s="46"/>
      <c r="J32" s="46"/>
      <c r="K32" s="3"/>
      <c r="L32" s="3"/>
    </row>
    <row r="33" spans="1:12" ht="18.75">
      <c r="A33" s="102">
        <v>8</v>
      </c>
      <c r="B33" s="3" t="s">
        <v>186</v>
      </c>
      <c r="C33" s="46">
        <v>1173</v>
      </c>
      <c r="D33" s="46"/>
      <c r="E33" s="46"/>
      <c r="F33" s="65">
        <f>C33-D35</f>
        <v>400</v>
      </c>
      <c r="G33" s="46"/>
      <c r="H33" s="65">
        <f>AVERAGE(F33:F34)</f>
        <v>401.5</v>
      </c>
      <c r="I33" s="46"/>
      <c r="J33" s="46"/>
      <c r="K33">
        <f>K30</f>
        <v>78.816499999999991</v>
      </c>
      <c r="L33" s="3"/>
    </row>
    <row r="34" spans="1:12" ht="18.75">
      <c r="A34" s="103"/>
      <c r="B34" s="3"/>
      <c r="C34" s="46">
        <v>5965</v>
      </c>
      <c r="D34" s="46"/>
      <c r="E34" s="46"/>
      <c r="F34" s="65">
        <f>C34-D36</f>
        <v>403</v>
      </c>
      <c r="G34" s="46"/>
      <c r="H34" s="78">
        <v>-2</v>
      </c>
      <c r="I34" s="46"/>
      <c r="J34" s="46"/>
      <c r="K34" s="66">
        <f>K33-H35/1000</f>
        <v>78.416999999999987</v>
      </c>
      <c r="L34" s="3"/>
    </row>
    <row r="35" spans="1:12" ht="18.75">
      <c r="A35" s="103"/>
      <c r="B35" s="3" t="s">
        <v>163</v>
      </c>
      <c r="C35" s="46"/>
      <c r="D35" s="46">
        <v>773</v>
      </c>
      <c r="E35" s="46"/>
      <c r="F35" s="46"/>
      <c r="G35" s="46"/>
      <c r="H35" s="79">
        <f>H33+H34</f>
        <v>399.5</v>
      </c>
      <c r="I35" s="46"/>
      <c r="J35" s="46"/>
      <c r="K35" s="3"/>
      <c r="L35" s="3"/>
    </row>
    <row r="36" spans="1:12">
      <c r="A36" s="104"/>
      <c r="B36" s="3"/>
      <c r="C36" s="46"/>
      <c r="D36" s="46">
        <v>5562</v>
      </c>
      <c r="E36" s="46"/>
      <c r="F36" s="46"/>
      <c r="G36" s="46"/>
      <c r="H36" s="46"/>
      <c r="I36" s="46"/>
      <c r="J36" s="46"/>
      <c r="K36" s="3"/>
      <c r="L36" s="3"/>
    </row>
    <row r="39" spans="1:12">
      <c r="A39" s="38" t="s">
        <v>125</v>
      </c>
      <c r="B39" s="42">
        <v>0</v>
      </c>
    </row>
    <row r="40" spans="1:12">
      <c r="A40" s="38" t="s">
        <v>126</v>
      </c>
      <c r="B40" s="42">
        <f>(SUM(H13,H21,H29,H33)-SUM(I6,I10,I17,I25))/1000</f>
        <v>1.7999999999999999E-2</v>
      </c>
    </row>
    <row r="41" spans="1:12">
      <c r="A41" s="38" t="s">
        <v>90</v>
      </c>
      <c r="B41" s="42">
        <f>(B40-B39)*1000</f>
        <v>18</v>
      </c>
    </row>
    <row r="42" spans="1:12">
      <c r="A42" s="39" t="s">
        <v>127</v>
      </c>
      <c r="B42" s="41">
        <f>50*SQRT(2.2)</f>
        <v>74.16198487095663</v>
      </c>
    </row>
    <row r="43" spans="1:12" ht="49.5">
      <c r="A43" s="20" t="s">
        <v>195</v>
      </c>
      <c r="B43" s="3">
        <f>-B41</f>
        <v>-18</v>
      </c>
    </row>
  </sheetData>
  <mergeCells count="16">
    <mergeCell ref="A33:A36"/>
    <mergeCell ref="A8:A12"/>
    <mergeCell ref="A13:A16"/>
    <mergeCell ref="A17:A20"/>
    <mergeCell ref="A21:A24"/>
    <mergeCell ref="A25:A28"/>
    <mergeCell ref="A29:A32"/>
    <mergeCell ref="J1:J2"/>
    <mergeCell ref="K1:K2"/>
    <mergeCell ref="L1:L2"/>
    <mergeCell ref="A4:A7"/>
    <mergeCell ref="A1:A2"/>
    <mergeCell ref="B1:B2"/>
    <mergeCell ref="C1:E1"/>
    <mergeCell ref="F1:G1"/>
    <mergeCell ref="H1:I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51DD1-03A7-4E95-89DD-4965054CC1D9}">
  <sheetPr codeName="Sheet18"/>
  <dimension ref="A1:G9"/>
  <sheetViews>
    <sheetView workbookViewId="0">
      <selection activeCell="G3" sqref="G3"/>
    </sheetView>
  </sheetViews>
  <sheetFormatPr defaultRowHeight="16.5"/>
  <cols>
    <col min="2" max="2" width="17" customWidth="1"/>
    <col min="3" max="3" width="14.77734375" customWidth="1"/>
    <col min="4" max="4" width="12.77734375" customWidth="1"/>
    <col min="5" max="5" width="12" customWidth="1"/>
    <col min="6" max="6" width="14.88671875" customWidth="1"/>
    <col min="7" max="7" width="17" customWidth="1"/>
  </cols>
  <sheetData>
    <row r="1" spans="1:7" s="2" customFormat="1" ht="82.5">
      <c r="A1" s="2" t="s">
        <v>196</v>
      </c>
      <c r="B1" s="2" t="s">
        <v>197</v>
      </c>
      <c r="C1" s="2" t="s">
        <v>198</v>
      </c>
      <c r="D1" s="2" t="s">
        <v>199</v>
      </c>
      <c r="E1" s="2" t="s">
        <v>202</v>
      </c>
      <c r="F1" s="2" t="s">
        <v>200</v>
      </c>
      <c r="G1" s="2" t="s">
        <v>201</v>
      </c>
    </row>
    <row r="2" spans="1:7">
      <c r="A2">
        <v>1</v>
      </c>
      <c r="B2">
        <f>'Таблица 14'!K9</f>
        <v>83.442999999999984</v>
      </c>
      <c r="C2">
        <v>23</v>
      </c>
      <c r="D2">
        <f>B2-C2/1000</f>
        <v>83.419999999999987</v>
      </c>
    </row>
    <row r="3" spans="1:7">
      <c r="E3">
        <f>(D4-D2)*1000</f>
        <v>-829.00000000000773</v>
      </c>
      <c r="F3">
        <v>500</v>
      </c>
      <c r="G3" s="80">
        <f>E3/(F3*1000)</f>
        <v>-1.6580000000000154E-3</v>
      </c>
    </row>
    <row r="4" spans="1:7">
      <c r="A4">
        <v>2</v>
      </c>
      <c r="B4">
        <f>'Таблица 14'!K18</f>
        <v>82.674999999999983</v>
      </c>
      <c r="C4">
        <v>84</v>
      </c>
      <c r="D4">
        <f t="shared" ref="D4:D9" si="0">B4-C4/1000</f>
        <v>82.59099999999998</v>
      </c>
    </row>
    <row r="5" spans="1:7">
      <c r="E5">
        <f>(D6-D4)*1000</f>
        <v>-2454.9999999999982</v>
      </c>
      <c r="F5">
        <v>500</v>
      </c>
      <c r="G5" s="80">
        <f>E5/(F5*1000)</f>
        <v>-4.909999999999996E-3</v>
      </c>
    </row>
    <row r="6" spans="1:7">
      <c r="A6">
        <v>3</v>
      </c>
      <c r="B6">
        <f>'Таблица 14'!K26</f>
        <v>80.184999999999988</v>
      </c>
      <c r="C6">
        <v>49</v>
      </c>
      <c r="D6">
        <f t="shared" si="0"/>
        <v>80.135999999999981</v>
      </c>
    </row>
    <row r="7" spans="1:7">
      <c r="A7">
        <v>1</v>
      </c>
      <c r="B7">
        <f>'Таблица 15'!B2</f>
        <v>83.442999999999984</v>
      </c>
      <c r="C7">
        <v>23</v>
      </c>
      <c r="D7">
        <f t="shared" si="0"/>
        <v>83.419999999999987</v>
      </c>
    </row>
    <row r="8" spans="1:7">
      <c r="E8">
        <f>(D9-D7)*1000</f>
        <v>-3284.0000000000059</v>
      </c>
      <c r="F8">
        <v>1000</v>
      </c>
      <c r="G8" s="80">
        <f>E8/(F8*1000)</f>
        <v>-3.2840000000000061E-3</v>
      </c>
    </row>
    <row r="9" spans="1:7">
      <c r="A9">
        <v>3</v>
      </c>
      <c r="B9">
        <f>B6</f>
        <v>80.184999999999988</v>
      </c>
      <c r="C9">
        <v>49</v>
      </c>
      <c r="D9">
        <f t="shared" si="0"/>
        <v>80.135999999999981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5C9EA2-F9FD-4C85-ACBA-558666118710}">
  <sheetPr codeName="Sheet19"/>
  <dimension ref="A1:M4"/>
  <sheetViews>
    <sheetView workbookViewId="0">
      <selection activeCell="B4" sqref="B4"/>
    </sheetView>
  </sheetViews>
  <sheetFormatPr defaultRowHeight="16.5"/>
  <sheetData>
    <row r="1" spans="1:13">
      <c r="A1" s="1" t="s">
        <v>162</v>
      </c>
      <c r="B1" s="1" t="s">
        <v>203</v>
      </c>
      <c r="C1">
        <v>0.6</v>
      </c>
      <c r="D1">
        <v>1.2</v>
      </c>
      <c r="E1">
        <v>2.38</v>
      </c>
      <c r="F1">
        <v>4.17</v>
      </c>
      <c r="G1">
        <v>4.78</v>
      </c>
      <c r="H1">
        <v>3.89</v>
      </c>
      <c r="I1">
        <v>3.18</v>
      </c>
      <c r="J1">
        <v>2.67</v>
      </c>
      <c r="K1">
        <v>1.1000000000000001</v>
      </c>
      <c r="L1" s="1" t="s">
        <v>204</v>
      </c>
      <c r="M1" s="1" t="s">
        <v>164</v>
      </c>
    </row>
    <row r="2" spans="1:13">
      <c r="A2">
        <f>'Таблица 12'!K95</f>
        <v>84.804499999999976</v>
      </c>
      <c r="B2">
        <f>'Таблица 12'!K99</f>
        <v>83.202999999999989</v>
      </c>
      <c r="C2">
        <f t="shared" ref="C2:D2" si="0">$B$2-C1</f>
        <v>82.602999999999994</v>
      </c>
      <c r="D2">
        <f t="shared" si="0"/>
        <v>82.002999999999986</v>
      </c>
      <c r="E2">
        <f>$B$2-E1</f>
        <v>80.822999999999993</v>
      </c>
      <c r="F2">
        <f t="shared" ref="F2:K2" si="1">$B$2-F1</f>
        <v>79.032999999999987</v>
      </c>
      <c r="G2">
        <f t="shared" si="1"/>
        <v>78.422999999999988</v>
      </c>
      <c r="H2">
        <f t="shared" si="1"/>
        <v>79.312999999999988</v>
      </c>
      <c r="I2">
        <f t="shared" si="1"/>
        <v>80.022999999999982</v>
      </c>
      <c r="J2">
        <f t="shared" si="1"/>
        <v>80.532999999999987</v>
      </c>
      <c r="K2">
        <f t="shared" si="1"/>
        <v>82.102999999999994</v>
      </c>
      <c r="L2">
        <f>'Таблица 12'!K103</f>
        <v>83.196999999999989</v>
      </c>
      <c r="M2">
        <f>'Таблица 12'!K108</f>
        <v>83.990499999999983</v>
      </c>
    </row>
    <row r="4" spans="1:13">
      <c r="A4" s="81" t="s">
        <v>205</v>
      </c>
      <c r="B4" s="42">
        <f>MIN(C2:K2)</f>
        <v>78.422999999999988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Варианты</vt:lpstr>
      <vt:lpstr>Таблица 5</vt:lpstr>
      <vt:lpstr>Таблица 7</vt:lpstr>
      <vt:lpstr>Таблица 8</vt:lpstr>
      <vt:lpstr>Таблица 9</vt:lpstr>
      <vt:lpstr>Таблица 10</vt:lpstr>
      <vt:lpstr>pandasPlan79</vt:lpstr>
      <vt:lpstr>pandasPlan10</vt:lpstr>
      <vt:lpstr>pandasConnections</vt:lpstr>
      <vt:lpstr>Исходные Данные 2</vt:lpstr>
      <vt:lpstr>Таблица 12</vt:lpstr>
      <vt:lpstr>Таблица 12 Поправки</vt:lpstr>
      <vt:lpstr>FIX ME большие поправки</vt:lpstr>
      <vt:lpstr>pandas</vt:lpstr>
      <vt:lpstr>pandas_extra</vt:lpstr>
      <vt:lpstr>Таблица 13</vt:lpstr>
      <vt:lpstr>Таблица 14</vt:lpstr>
      <vt:lpstr>Таблица 15</vt:lpstr>
      <vt:lpstr>Сечение реки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Бляздец</dc:title>
  <dc:creator>Николай Иванов</dc:creator>
  <cp:lastModifiedBy>tameddev</cp:lastModifiedBy>
  <cp:lastPrinted>2022-12-27T22:43:56Z</cp:lastPrinted>
  <dcterms:created xsi:type="dcterms:W3CDTF">2022-12-20T17:51:04Z</dcterms:created>
  <dcterms:modified xsi:type="dcterms:W3CDTF">2023-03-06T01:20:50Z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ARK_MODE_0292">
    <vt:i4>1</vt:i4>
  </property>
</Properties>
</file>