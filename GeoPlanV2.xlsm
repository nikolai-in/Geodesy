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meddev\Developer\geodesy-v2\"/>
    </mc:Choice>
  </mc:AlternateContent>
  <xr:revisionPtr revIDLastSave="0" documentId="13_ncr:1_{E5E90743-4A51-46A1-9114-E8F7F1FCF2E2}" xr6:coauthVersionLast="47" xr6:coauthVersionMax="47" xr10:uidLastSave="{00000000-0000-0000-0000-000000000000}"/>
  <bookViews>
    <workbookView xWindow="4560" yWindow="4065" windowWidth="18900" windowHeight="10965" firstSheet="2" activeTab="6" xr2:uid="{B5C34B5C-7070-4DD8-B36C-DD63EC60461F}"/>
  </bookViews>
  <sheets>
    <sheet name="Варианты" sheetId="1" r:id="rId1"/>
    <sheet name="Таблица 7" sheetId="3" r:id="rId2"/>
    <sheet name="Таблица 9" sheetId="4" r:id="rId3"/>
    <sheet name="Таблица 10" sheetId="5" r:id="rId4"/>
    <sheet name="Тест" sheetId="6" r:id="rId5"/>
    <sheet name="pandasPlan79" sheetId="7" r:id="rId6"/>
    <sheet name="pandasPlan10" sheetId="8" r:id="rId7"/>
    <sheet name="Таблица 5" sheetId="2" state="hidden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9" i="8" l="1"/>
  <c r="A29" i="8"/>
  <c r="B28" i="8"/>
  <c r="A28" i="8"/>
  <c r="B27" i="8"/>
  <c r="A27" i="8"/>
  <c r="B26" i="8"/>
  <c r="A26" i="8"/>
  <c r="B25" i="8"/>
  <c r="A25" i="8"/>
  <c r="B24" i="8"/>
  <c r="A24" i="8"/>
  <c r="B22" i="8"/>
  <c r="A22" i="8"/>
  <c r="B21" i="8"/>
  <c r="A21" i="8"/>
  <c r="B20" i="8"/>
  <c r="A20" i="8"/>
  <c r="B19" i="8"/>
  <c r="A19" i="8"/>
  <c r="B17" i="8"/>
  <c r="A17" i="8"/>
  <c r="B16" i="8"/>
  <c r="A16" i="8"/>
  <c r="B15" i="8"/>
  <c r="A15" i="8"/>
  <c r="B14" i="8"/>
  <c r="A14" i="8"/>
  <c r="B12" i="8"/>
  <c r="A12" i="8"/>
  <c r="B11" i="8"/>
  <c r="A11" i="8"/>
  <c r="B10" i="8"/>
  <c r="A10" i="8"/>
  <c r="B9" i="8"/>
  <c r="A9" i="8"/>
  <c r="B7" i="8"/>
  <c r="A7" i="8"/>
  <c r="B6" i="8"/>
  <c r="A6" i="8"/>
  <c r="B5" i="8"/>
  <c r="A5" i="8"/>
  <c r="B4" i="8"/>
  <c r="A4" i="8"/>
  <c r="B3" i="8"/>
  <c r="A3" i="8"/>
  <c r="C1" i="7"/>
  <c r="B1" i="7"/>
  <c r="C17" i="8" a="1"/>
  <c r="C29" i="8" a="1"/>
  <c r="C21" i="8" a="1"/>
  <c r="C25" i="8" a="1"/>
  <c r="C5" i="8" a="1"/>
  <c r="C14" i="8" a="1"/>
  <c r="C20" i="8" a="1"/>
  <c r="C27" i="8" a="1"/>
  <c r="C7" i="8" a="1"/>
  <c r="C4" i="8" a="1"/>
  <c r="C11" i="8" a="1"/>
  <c r="C15" i="8" a="1"/>
  <c r="C24" i="8" a="1"/>
  <c r="C12" i="8" a="1"/>
  <c r="C16" i="8" a="1"/>
  <c r="C22" i="8" a="1"/>
  <c r="C3" i="8" a="1"/>
  <c r="C26" i="8" a="1"/>
  <c r="C6" i="8" a="1"/>
  <c r="C10" i="8" a="1"/>
  <c r="C19" i="8" a="1"/>
  <c r="C9" i="8" a="1"/>
  <c r="C28" i="8" a="1"/>
  <c r="C14" i="8" l="1"/>
  <c r="C19" i="8"/>
  <c r="C24" i="8"/>
  <c r="C28" i="8"/>
  <c r="C5" i="8"/>
  <c r="C10" i="8"/>
  <c r="C15" i="8"/>
  <c r="C20" i="8"/>
  <c r="C25" i="8"/>
  <c r="C6" i="8"/>
  <c r="C11" i="8"/>
  <c r="C16" i="8"/>
  <c r="C21" i="8"/>
  <c r="C26" i="8"/>
  <c r="C4" i="8"/>
  <c r="C9" i="8"/>
  <c r="C29" i="8"/>
  <c r="C3" i="8"/>
  <c r="C7" i="8"/>
  <c r="C12" i="8"/>
  <c r="C17" i="8"/>
  <c r="C22" i="8"/>
  <c r="C27" i="8"/>
  <c r="A3" i="6" l="1"/>
  <c r="B3" i="6"/>
  <c r="C3" i="6"/>
  <c r="A4" i="6"/>
  <c r="B4" i="6"/>
  <c r="C4" i="6"/>
  <c r="A5" i="6"/>
  <c r="B5" i="6"/>
  <c r="C5" i="6"/>
  <c r="A6" i="6"/>
  <c r="B6" i="6"/>
  <c r="C6" i="6"/>
  <c r="A7" i="6"/>
  <c r="B7" i="6"/>
  <c r="C7" i="6"/>
  <c r="A8" i="6"/>
  <c r="B8" i="6"/>
  <c r="C8" i="6"/>
  <c r="A9" i="6"/>
  <c r="B9" i="6"/>
  <c r="C9" i="6"/>
  <c r="A10" i="6"/>
  <c r="B10" i="6"/>
  <c r="C10" i="6"/>
  <c r="A11" i="6"/>
  <c r="B11" i="6"/>
  <c r="C11" i="6"/>
  <c r="A12" i="6"/>
  <c r="B12" i="6"/>
  <c r="C12" i="6"/>
  <c r="A13" i="6"/>
  <c r="B13" i="6"/>
  <c r="C13" i="6"/>
  <c r="A14" i="6"/>
  <c r="B14" i="6"/>
  <c r="C14" i="6"/>
  <c r="A15" i="6"/>
  <c r="B15" i="6"/>
  <c r="C15" i="6"/>
  <c r="A16" i="6"/>
  <c r="B16" i="6"/>
  <c r="C16" i="6"/>
  <c r="A17" i="6"/>
  <c r="B17" i="6"/>
  <c r="C17" i="6"/>
  <c r="A18" i="6"/>
  <c r="B18" i="6"/>
  <c r="C18" i="6"/>
  <c r="A19" i="6"/>
  <c r="B19" i="6"/>
  <c r="C19" i="6"/>
  <c r="A20" i="6"/>
  <c r="B20" i="6"/>
  <c r="C20" i="6"/>
  <c r="A21" i="6"/>
  <c r="B21" i="6"/>
  <c r="C21" i="6"/>
  <c r="A22" i="6"/>
  <c r="B22" i="6"/>
  <c r="C22" i="6"/>
  <c r="A23" i="6"/>
  <c r="B23" i="6"/>
  <c r="C23" i="6"/>
  <c r="A24" i="6"/>
  <c r="B24" i="6"/>
  <c r="C24" i="6"/>
  <c r="A25" i="6"/>
  <c r="B25" i="6"/>
  <c r="C25" i="6"/>
  <c r="A26" i="6"/>
  <c r="B26" i="6"/>
  <c r="C26" i="6"/>
  <c r="A27" i="6"/>
  <c r="B27" i="6"/>
  <c r="C27" i="6"/>
  <c r="A28" i="6"/>
  <c r="B28" i="6"/>
  <c r="C28" i="6"/>
  <c r="A29" i="6"/>
  <c r="B29" i="6"/>
  <c r="C29" i="6"/>
  <c r="A30" i="6"/>
  <c r="B30" i="6"/>
  <c r="C30" i="6"/>
  <c r="A31" i="6"/>
  <c r="B31" i="6"/>
  <c r="C31" i="6"/>
  <c r="A32" i="6"/>
  <c r="B32" i="6"/>
  <c r="C32" i="6"/>
  <c r="A33" i="6"/>
  <c r="B33" i="6"/>
  <c r="C33" i="6"/>
  <c r="A34" i="6"/>
  <c r="B34" i="6"/>
  <c r="C34" i="6"/>
  <c r="A35" i="6"/>
  <c r="B35" i="6"/>
  <c r="C35" i="6"/>
  <c r="A36" i="6"/>
  <c r="B36" i="6"/>
  <c r="C36" i="6"/>
  <c r="A37" i="6"/>
  <c r="B37" i="6"/>
  <c r="C37" i="6"/>
  <c r="A38" i="6"/>
  <c r="B38" i="6"/>
  <c r="C38" i="6"/>
  <c r="A39" i="6"/>
  <c r="B39" i="6"/>
  <c r="C39" i="6"/>
  <c r="A40" i="6"/>
  <c r="B40" i="6"/>
  <c r="C40" i="6"/>
  <c r="A41" i="6"/>
  <c r="B41" i="6"/>
  <c r="C41" i="6"/>
  <c r="A42" i="6"/>
  <c r="B42" i="6"/>
  <c r="C42" i="6"/>
  <c r="A43" i="6"/>
  <c r="B43" i="6"/>
  <c r="C43" i="6"/>
  <c r="A44" i="6"/>
  <c r="B44" i="6"/>
  <c r="C44" i="6"/>
  <c r="A45" i="6"/>
  <c r="B45" i="6"/>
  <c r="C45" i="6"/>
  <c r="A46" i="6"/>
  <c r="B46" i="6"/>
  <c r="C46" i="6"/>
  <c r="A47" i="6"/>
  <c r="B47" i="6"/>
  <c r="C47" i="6"/>
  <c r="A48" i="6"/>
  <c r="B48" i="6"/>
  <c r="C48" i="6"/>
  <c r="A49" i="6"/>
  <c r="B49" i="6"/>
  <c r="C49" i="6"/>
  <c r="A50" i="6"/>
  <c r="B50" i="6"/>
  <c r="C50" i="6"/>
  <c r="C2" i="6"/>
  <c r="B2" i="6"/>
  <c r="A2" i="6"/>
  <c r="D15" i="6" l="1"/>
  <c r="D3" i="6"/>
  <c r="E26" i="6"/>
  <c r="E22" i="6"/>
  <c r="D17" i="6"/>
  <c r="E6" i="6"/>
  <c r="D5" i="6"/>
  <c r="E28" i="6"/>
  <c r="E20" i="6"/>
  <c r="E8" i="6"/>
  <c r="E3" i="6"/>
  <c r="E47" i="6"/>
  <c r="D23" i="6"/>
  <c r="D43" i="6"/>
  <c r="D39" i="6"/>
  <c r="D31" i="6"/>
  <c r="D44" i="6"/>
  <c r="E46" i="6"/>
  <c r="D41" i="6"/>
  <c r="D40" i="6"/>
  <c r="E34" i="6"/>
  <c r="D33" i="6"/>
  <c r="D32" i="6"/>
  <c r="D24" i="6"/>
  <c r="D22" i="6"/>
  <c r="E19" i="6"/>
  <c r="E18" i="6"/>
  <c r="E7" i="6"/>
  <c r="E50" i="6"/>
  <c r="D35" i="6"/>
  <c r="D25" i="6"/>
  <c r="D11" i="6"/>
  <c r="D38" i="6"/>
  <c r="E36" i="6"/>
  <c r="E30" i="6"/>
  <c r="D27" i="6"/>
  <c r="E14" i="6"/>
  <c r="E13" i="6"/>
  <c r="D12" i="6"/>
  <c r="D49" i="6"/>
  <c r="D48" i="6"/>
  <c r="D46" i="6"/>
  <c r="E44" i="6"/>
  <c r="E38" i="6"/>
  <c r="E35" i="6"/>
  <c r="E29" i="6"/>
  <c r="D28" i="6"/>
  <c r="D26" i="6"/>
  <c r="E23" i="6"/>
  <c r="E21" i="6"/>
  <c r="D20" i="6"/>
  <c r="E16" i="6"/>
  <c r="E15" i="6"/>
  <c r="D13" i="6"/>
  <c r="E9" i="6"/>
  <c r="D8" i="6"/>
  <c r="D6" i="6"/>
  <c r="E4" i="6"/>
  <c r="D47" i="6"/>
  <c r="E43" i="6"/>
  <c r="E42" i="6"/>
  <c r="E40" i="6"/>
  <c r="D37" i="6"/>
  <c r="D36" i="6"/>
  <c r="D34" i="6"/>
  <c r="E32" i="6"/>
  <c r="D29" i="6"/>
  <c r="E24" i="6"/>
  <c r="D21" i="6"/>
  <c r="D19" i="6"/>
  <c r="E17" i="6"/>
  <c r="D16" i="6"/>
  <c r="D14" i="6"/>
  <c r="D9" i="6"/>
  <c r="D7" i="6"/>
  <c r="E48" i="6"/>
  <c r="D45" i="6"/>
  <c r="E39" i="6"/>
  <c r="E31" i="6"/>
  <c r="E27" i="6"/>
  <c r="E25" i="6"/>
  <c r="E12" i="6"/>
  <c r="E11" i="6"/>
  <c r="D10" i="6"/>
  <c r="E5" i="6"/>
  <c r="D4" i="6"/>
  <c r="E10" i="6"/>
  <c r="D50" i="6"/>
  <c r="E49" i="6"/>
  <c r="E45" i="6"/>
  <c r="D42" i="6"/>
  <c r="E41" i="6"/>
  <c r="E37" i="6"/>
  <c r="E33" i="6"/>
  <c r="D30" i="6"/>
  <c r="D18" i="6"/>
  <c r="E2" i="6"/>
  <c r="D2" i="6"/>
  <c r="G9" i="6" a="1"/>
  <c r="G26" i="6" a="1"/>
  <c r="G13" i="6" a="1"/>
  <c r="G22" i="6" a="1"/>
  <c r="G8" i="6" a="1"/>
  <c r="G25" i="6" a="1"/>
  <c r="G3" i="6" a="1"/>
  <c r="G43" i="6" a="1"/>
  <c r="G34" i="6" a="1"/>
  <c r="G6" i="6" a="1"/>
  <c r="G40" i="6" a="1"/>
  <c r="G29" i="6" a="1"/>
  <c r="G11" i="6" a="1"/>
  <c r="G50" i="6" a="1"/>
  <c r="G19" i="6" a="1"/>
  <c r="G36" i="6" a="1"/>
  <c r="G14" i="6" a="1"/>
  <c r="G30" i="6" a="1"/>
  <c r="G12" i="6" a="1"/>
  <c r="G32" i="6" a="1"/>
  <c r="G44" i="6" a="1"/>
  <c r="G24" i="6" a="1"/>
  <c r="G28" i="6" a="1"/>
  <c r="G27" i="6" a="1"/>
  <c r="G45" i="6" a="1"/>
  <c r="G4" i="6" a="1"/>
  <c r="G10" i="6" a="1"/>
  <c r="G46" i="6" a="1"/>
  <c r="G42" i="6" a="1"/>
  <c r="G35" i="6" a="1"/>
  <c r="G48" i="6" a="1"/>
  <c r="G18" i="6" a="1"/>
  <c r="G16" i="6" a="1"/>
  <c r="G49" i="6" a="1"/>
  <c r="G20" i="6" a="1"/>
  <c r="G15" i="6" a="1"/>
  <c r="G23" i="6" a="1"/>
  <c r="G21" i="6" a="1"/>
  <c r="G7" i="6" a="1"/>
  <c r="G38" i="6" a="1"/>
  <c r="G17" i="6" a="1"/>
  <c r="G41" i="6" a="1"/>
  <c r="G39" i="6" a="1"/>
  <c r="G47" i="6" a="1"/>
  <c r="G5" i="6" a="1"/>
  <c r="G2" i="6" a="1"/>
  <c r="G33" i="6" a="1"/>
  <c r="G31" i="6" a="1"/>
  <c r="G37" i="6" a="1"/>
  <c r="G8" i="6" l="1"/>
  <c r="G6" i="6"/>
  <c r="G20" i="6"/>
  <c r="G28" i="6"/>
  <c r="G22" i="6"/>
  <c r="G3" i="6"/>
  <c r="G26" i="6"/>
  <c r="G47" i="6"/>
  <c r="G14" i="6"/>
  <c r="G50" i="6"/>
  <c r="G34" i="6"/>
  <c r="G7" i="6"/>
  <c r="G30" i="6"/>
  <c r="G18" i="6"/>
  <c r="G13" i="6"/>
  <c r="G36" i="6"/>
  <c r="G19" i="6"/>
  <c r="G46" i="6"/>
  <c r="G44" i="6"/>
  <c r="G12" i="6"/>
  <c r="G39" i="6"/>
  <c r="G32" i="6"/>
  <c r="G40" i="6"/>
  <c r="G4" i="6"/>
  <c r="G21" i="6"/>
  <c r="G29" i="6"/>
  <c r="G11" i="6"/>
  <c r="G17" i="6"/>
  <c r="G5" i="6"/>
  <c r="G25" i="6"/>
  <c r="G42" i="6"/>
  <c r="G15" i="6"/>
  <c r="G23" i="6"/>
  <c r="G35" i="6"/>
  <c r="G31" i="6"/>
  <c r="G9" i="6"/>
  <c r="G27" i="6"/>
  <c r="G48" i="6"/>
  <c r="G24" i="6"/>
  <c r="G43" i="6"/>
  <c r="G16" i="6"/>
  <c r="G38" i="6"/>
  <c r="G37" i="6"/>
  <c r="G41" i="6"/>
  <c r="G10" i="6"/>
  <c r="G33" i="6"/>
  <c r="G45" i="6"/>
  <c r="G49" i="6"/>
  <c r="G2" i="6"/>
  <c r="B10" i="4"/>
  <c r="B8" i="4"/>
  <c r="B6" i="4"/>
  <c r="B4" i="4"/>
  <c r="B15" i="4" s="1"/>
  <c r="J11" i="4"/>
  <c r="D6" i="7" s="1"/>
  <c r="J3" i="4"/>
  <c r="D2" i="7" s="1"/>
  <c r="B27" i="3"/>
  <c r="L15" i="3"/>
  <c r="C6" i="7" s="1"/>
  <c r="L7" i="3"/>
  <c r="C2" i="7" s="1"/>
  <c r="K15" i="3"/>
  <c r="B6" i="7" s="1"/>
  <c r="K7" i="3"/>
  <c r="B2" i="7" s="1"/>
  <c r="E6" i="3"/>
  <c r="D27" i="3"/>
  <c r="B30" i="3"/>
  <c r="C4" i="2" a="1"/>
  <c r="C6" i="2" a="1"/>
  <c r="C3" i="2" a="1"/>
  <c r="C40" i="3" a="1"/>
  <c r="C37" i="3" a="1"/>
  <c r="C39" i="3" a="1"/>
  <c r="C5" i="2" a="1"/>
  <c r="C38" i="3" a="1"/>
  <c r="D15" i="3" a="1"/>
  <c r="D11" i="3" a="1"/>
  <c r="D7" i="3" a="1"/>
  <c r="C36" i="3" a="1"/>
  <c r="D9" i="3" a="1"/>
  <c r="D13" i="3" a="1"/>
  <c r="H32" i="6" a="1"/>
  <c r="H50" i="6" a="1"/>
  <c r="H26" i="6" a="1"/>
  <c r="H10" i="6" a="1"/>
  <c r="H6" i="6" a="1"/>
  <c r="H30" i="6" a="1"/>
  <c r="H44" i="6" a="1"/>
  <c r="H40" i="6" a="1"/>
  <c r="H34" i="6" a="1"/>
  <c r="H17" i="6" a="1"/>
  <c r="H48" i="6" a="1"/>
  <c r="H3" i="6" a="1"/>
  <c r="H28" i="6" a="1"/>
  <c r="H39" i="6" a="1"/>
  <c r="H47" i="6" a="1"/>
  <c r="H14" i="6" a="1"/>
  <c r="H2" i="6" a="1"/>
  <c r="H45" i="6" a="1"/>
  <c r="H12" i="6" a="1"/>
  <c r="H8" i="6" a="1"/>
  <c r="H33" i="6" a="1"/>
  <c r="H18" i="6" a="1"/>
  <c r="H43" i="6" a="1"/>
  <c r="H19" i="6" a="1"/>
  <c r="H31" i="6" a="1"/>
  <c r="H42" i="6" a="1"/>
  <c r="H15" i="6" a="1"/>
  <c r="H38" i="6" a="1"/>
  <c r="H20" i="6" a="1"/>
  <c r="H37" i="6" a="1"/>
  <c r="H16" i="6" a="1"/>
  <c r="H36" i="6" a="1"/>
  <c r="H41" i="6" a="1"/>
  <c r="H29" i="6" a="1"/>
  <c r="H35" i="6" a="1"/>
  <c r="H9" i="6" a="1"/>
  <c r="H5" i="6" a="1"/>
  <c r="H46" i="6" a="1"/>
  <c r="H21" i="6" a="1"/>
  <c r="H11" i="6" a="1"/>
  <c r="H27" i="6" a="1"/>
  <c r="H7" i="6" a="1"/>
  <c r="H4" i="6" a="1"/>
  <c r="H22" i="6" a="1"/>
  <c r="H23" i="6" a="1"/>
  <c r="H49" i="6" a="1"/>
  <c r="H25" i="6" a="1"/>
  <c r="H13" i="6" a="1"/>
  <c r="H24" i="6" a="1"/>
  <c r="K7" i="5" l="1"/>
  <c r="D4" i="8" s="1"/>
  <c r="K9" i="5"/>
  <c r="D6" i="8" s="1"/>
  <c r="A3" i="5"/>
  <c r="K27" i="5"/>
  <c r="D24" i="8" s="1"/>
  <c r="K31" i="5"/>
  <c r="D28" i="8" s="1"/>
  <c r="A26" i="5"/>
  <c r="K28" i="5"/>
  <c r="D25" i="8" s="1"/>
  <c r="K32" i="5"/>
  <c r="D29" i="8" s="1"/>
  <c r="K29" i="5"/>
  <c r="D26" i="8" s="1"/>
  <c r="B13" i="4"/>
  <c r="H6" i="4" s="1"/>
  <c r="I6" i="4" s="1"/>
  <c r="K30" i="5"/>
  <c r="D27" i="8" s="1"/>
  <c r="K8" i="5"/>
  <c r="D5" i="8" s="1"/>
  <c r="K6" i="5"/>
  <c r="D3" i="8" s="1"/>
  <c r="K10" i="5"/>
  <c r="D7" i="8" s="1"/>
  <c r="H28" i="6"/>
  <c r="H26" i="6"/>
  <c r="H20" i="6"/>
  <c r="H3" i="6"/>
  <c r="H6" i="6"/>
  <c r="H22" i="6"/>
  <c r="H8" i="6"/>
  <c r="H47" i="6"/>
  <c r="H36" i="6"/>
  <c r="H7" i="6"/>
  <c r="H13" i="6"/>
  <c r="H34" i="6"/>
  <c r="H46" i="6"/>
  <c r="H18" i="6"/>
  <c r="H50" i="6"/>
  <c r="H19" i="6"/>
  <c r="H30" i="6"/>
  <c r="H14" i="6"/>
  <c r="H32" i="6"/>
  <c r="H16" i="6"/>
  <c r="H27" i="6"/>
  <c r="H23" i="6"/>
  <c r="H5" i="6"/>
  <c r="H21" i="6"/>
  <c r="H39" i="6"/>
  <c r="H29" i="6"/>
  <c r="H43" i="6"/>
  <c r="H9" i="6"/>
  <c r="H15" i="6"/>
  <c r="H17" i="6"/>
  <c r="H4" i="6"/>
  <c r="H12" i="6"/>
  <c r="H38" i="6"/>
  <c r="H48" i="6"/>
  <c r="H35" i="6"/>
  <c r="H25" i="6"/>
  <c r="H24" i="6"/>
  <c r="H31" i="6"/>
  <c r="H42" i="6"/>
  <c r="H11" i="6"/>
  <c r="H40" i="6"/>
  <c r="H44" i="6"/>
  <c r="H33" i="6"/>
  <c r="H41" i="6"/>
  <c r="H49" i="6"/>
  <c r="H45" i="6"/>
  <c r="H10" i="6"/>
  <c r="H37" i="6"/>
  <c r="H2" i="6"/>
  <c r="C38" i="3"/>
  <c r="C36" i="3"/>
  <c r="C39" i="3"/>
  <c r="C37" i="3"/>
  <c r="C40" i="3"/>
  <c r="D7" i="3"/>
  <c r="D9" i="3"/>
  <c r="D13" i="3"/>
  <c r="D11" i="3"/>
  <c r="D15" i="3"/>
  <c r="C4" i="2"/>
  <c r="C6" i="2"/>
  <c r="C5" i="2"/>
  <c r="C3" i="2"/>
  <c r="E8" i="3" a="1"/>
  <c r="B14" i="4" l="1"/>
  <c r="H4" i="4"/>
  <c r="I4" i="4" s="1"/>
  <c r="J5" i="4" s="1"/>
  <c r="D3" i="7" s="1"/>
  <c r="H10" i="4"/>
  <c r="I10" i="4" s="1"/>
  <c r="H8" i="4"/>
  <c r="I8" i="4" s="1"/>
  <c r="E8" i="3"/>
  <c r="C41" i="3"/>
  <c r="H8" i="3" a="1"/>
  <c r="G8" i="3" a="1"/>
  <c r="E10" i="3" a="1"/>
  <c r="A11" i="5" l="1"/>
  <c r="K14" i="5"/>
  <c r="D11" i="8" s="1"/>
  <c r="K12" i="5"/>
  <c r="D9" i="8" s="1"/>
  <c r="J7" i="4"/>
  <c r="D4" i="7" s="1"/>
  <c r="K13" i="5"/>
  <c r="D10" i="8" s="1"/>
  <c r="K15" i="5"/>
  <c r="D12" i="8" s="1"/>
  <c r="G8" i="3"/>
  <c r="H8" i="3"/>
  <c r="E10" i="3"/>
  <c r="E12" i="3" a="1"/>
  <c r="G10" i="3" a="1"/>
  <c r="H10" i="3" a="1"/>
  <c r="K18" i="5" l="1"/>
  <c r="D15" i="8" s="1"/>
  <c r="K17" i="5"/>
  <c r="D14" i="8" s="1"/>
  <c r="A16" i="5"/>
  <c r="K19" i="5"/>
  <c r="D16" i="8" s="1"/>
  <c r="J9" i="4"/>
  <c r="D5" i="7" s="1"/>
  <c r="K20" i="5"/>
  <c r="D17" i="8" s="1"/>
  <c r="H10" i="3"/>
  <c r="G10" i="3"/>
  <c r="E12" i="3"/>
  <c r="H12" i="3" a="1"/>
  <c r="G12" i="3" a="1"/>
  <c r="E14" i="3" a="1"/>
  <c r="K24" i="5" l="1"/>
  <c r="D21" i="8" s="1"/>
  <c r="K23" i="5"/>
  <c r="D20" i="8" s="1"/>
  <c r="A21" i="5"/>
  <c r="K25" i="5"/>
  <c r="D22" i="8" s="1"/>
  <c r="K22" i="5"/>
  <c r="D19" i="8" s="1"/>
  <c r="H12" i="3"/>
  <c r="G12" i="3"/>
  <c r="E14" i="3"/>
  <c r="E16" i="3" a="1"/>
  <c r="G14" i="3" a="1"/>
  <c r="H14" i="3" a="1"/>
  <c r="G14" i="3" l="1"/>
  <c r="B26" i="3" s="1"/>
  <c r="B28" i="3" s="1"/>
  <c r="H14" i="3"/>
  <c r="D26" i="3" s="1"/>
  <c r="D28" i="3" s="1"/>
  <c r="E16" i="3"/>
  <c r="B21" i="3" a="1"/>
  <c r="B21" i="3" l="1"/>
  <c r="G11" i="3"/>
  <c r="I12" i="3" s="1"/>
  <c r="B29" i="3"/>
  <c r="G7" i="3"/>
  <c r="I8" i="3" s="1"/>
  <c r="K9" i="3" s="1"/>
  <c r="G13" i="3"/>
  <c r="I14" i="3" s="1"/>
  <c r="G9" i="3"/>
  <c r="I10" i="3" s="1"/>
  <c r="H13" i="3"/>
  <c r="J14" i="3" s="1"/>
  <c r="H9" i="3"/>
  <c r="J10" i="3" s="1"/>
  <c r="H11" i="3"/>
  <c r="J12" i="3" s="1"/>
  <c r="H7" i="3"/>
  <c r="J8" i="3" s="1"/>
  <c r="L9" i="3" s="1"/>
  <c r="C3" i="7" s="1"/>
  <c r="B22" i="3" a="1"/>
  <c r="K11" i="3" l="1"/>
  <c r="B3" i="7"/>
  <c r="B22" i="3"/>
  <c r="L11" i="3"/>
  <c r="B25" i="3" a="1"/>
  <c r="L13" i="3" l="1"/>
  <c r="C5" i="7" s="1"/>
  <c r="C4" i="7"/>
  <c r="K13" i="3"/>
  <c r="B5" i="7" s="1"/>
  <c r="B4" i="7"/>
  <c r="B25" i="3"/>
  <c r="B23" i="3" a="1"/>
  <c r="B23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<sst xmlns="http://schemas.openxmlformats.org/spreadsheetml/2006/main" count="254" uniqueCount="220">
  <si>
    <t>№</t>
  </si>
  <si>
    <t>П3 41</t>
  </si>
  <si>
    <t xml:space="preserve"> П3 42</t>
  </si>
  <si>
    <t>Дирекционные углы</t>
  </si>
  <si>
    <t xml:space="preserve">Х, м </t>
  </si>
  <si>
    <t>Y, м</t>
  </si>
  <si>
    <t>Н, м</t>
  </si>
  <si>
    <t>ПЗ40 – ПЗ41</t>
  </si>
  <si>
    <t>ПЗ42 – ПЗ42</t>
  </si>
  <si>
    <t>22°22'</t>
  </si>
  <si>
    <t>138°51'</t>
  </si>
  <si>
    <t>1°01'</t>
  </si>
  <si>
    <t>117°30'</t>
  </si>
  <si>
    <t>2°02'</t>
  </si>
  <si>
    <t>118°31'</t>
  </si>
  <si>
    <t>3°03'</t>
  </si>
  <si>
    <t>119°32'</t>
  </si>
  <si>
    <t>4°04'</t>
  </si>
  <si>
    <t>120°33'</t>
  </si>
  <si>
    <t>5°05'</t>
  </si>
  <si>
    <t>121°34'</t>
  </si>
  <si>
    <t>6°06'</t>
  </si>
  <si>
    <t>122°35'</t>
  </si>
  <si>
    <t>7°07'</t>
  </si>
  <si>
    <t>123°36'</t>
  </si>
  <si>
    <t>8°08'</t>
  </si>
  <si>
    <t>124°37'</t>
  </si>
  <si>
    <t>9°09'</t>
  </si>
  <si>
    <t>125°38'</t>
  </si>
  <si>
    <t>10°10'</t>
  </si>
  <si>
    <t>126°39'</t>
  </si>
  <si>
    <t>11°11'</t>
  </si>
  <si>
    <t>127°40'</t>
  </si>
  <si>
    <t>12°12'</t>
  </si>
  <si>
    <t>128°41'</t>
  </si>
  <si>
    <t>13°13'</t>
  </si>
  <si>
    <t>129°42'</t>
  </si>
  <si>
    <t>14°14'</t>
  </si>
  <si>
    <t>130°43'</t>
  </si>
  <si>
    <t>15°15'</t>
  </si>
  <si>
    <t>131°44'</t>
  </si>
  <si>
    <t>16°16'</t>
  </si>
  <si>
    <t>132°45'</t>
  </si>
  <si>
    <t>17°17'</t>
  </si>
  <si>
    <t>133°46'</t>
  </si>
  <si>
    <t>18°18'</t>
  </si>
  <si>
    <t>134°47'</t>
  </si>
  <si>
    <t>19°19'</t>
  </si>
  <si>
    <t>135°48'</t>
  </si>
  <si>
    <t>20°20'</t>
  </si>
  <si>
    <t>136°49'</t>
  </si>
  <si>
    <t>21°21'</t>
  </si>
  <si>
    <t>137°50'</t>
  </si>
  <si>
    <t>23°23'</t>
  </si>
  <si>
    <t>139°52'</t>
  </si>
  <si>
    <t>24°24'</t>
  </si>
  <si>
    <t>140°53'</t>
  </si>
  <si>
    <t>25°25'</t>
  </si>
  <si>
    <t>141°54'</t>
  </si>
  <si>
    <t>26°26'</t>
  </si>
  <si>
    <t>142°55'</t>
  </si>
  <si>
    <t>27°27'</t>
  </si>
  <si>
    <t>143°56'</t>
  </si>
  <si>
    <t>28°28'</t>
  </si>
  <si>
    <t>144°57'</t>
  </si>
  <si>
    <t>29°29'</t>
  </si>
  <si>
    <t>145°58'</t>
  </si>
  <si>
    <t>30°30'</t>
  </si>
  <si>
    <t>146°59'</t>
  </si>
  <si>
    <t>31°31'</t>
  </si>
  <si>
    <t>148°00'</t>
  </si>
  <si>
    <t>32°32'</t>
  </si>
  <si>
    <t>149°01'</t>
  </si>
  <si>
    <t>33°33'</t>
  </si>
  <si>
    <t>150°02'</t>
  </si>
  <si>
    <t>34°34'</t>
  </si>
  <si>
    <t>151°03'</t>
  </si>
  <si>
    <t>35°35'</t>
  </si>
  <si>
    <t>152°04'</t>
  </si>
  <si>
    <t>36°36'</t>
  </si>
  <si>
    <t>153°05'</t>
  </si>
  <si>
    <t>37°37'</t>
  </si>
  <si>
    <t>154°06'</t>
  </si>
  <si>
    <t>38°38'</t>
  </si>
  <si>
    <t>155°07'</t>
  </si>
  <si>
    <t>39°39'</t>
  </si>
  <si>
    <t>156°08'</t>
  </si>
  <si>
    <t>40°40'</t>
  </si>
  <si>
    <t>157°09'</t>
  </si>
  <si>
    <t>41°41'</t>
  </si>
  <si>
    <t>158°10'</t>
  </si>
  <si>
    <t>42°42'</t>
  </si>
  <si>
    <t>159°11'</t>
  </si>
  <si>
    <t>43°43'</t>
  </si>
  <si>
    <t>160°12'</t>
  </si>
  <si>
    <t>44°44'</t>
  </si>
  <si>
    <t>161°13'</t>
  </si>
  <si>
    <t>45°45'</t>
  </si>
  <si>
    <t>162°14'</t>
  </si>
  <si>
    <t>46°46'</t>
  </si>
  <si>
    <t>163°15'</t>
  </si>
  <si>
    <t>47°47'</t>
  </si>
  <si>
    <t>164°16'</t>
  </si>
  <si>
    <t>48°48'</t>
  </si>
  <si>
    <t>165°17'</t>
  </si>
  <si>
    <t>49°49'</t>
  </si>
  <si>
    <t>166°18'</t>
  </si>
  <si>
    <t>50°50'</t>
  </si>
  <si>
    <t>167°19</t>
  </si>
  <si>
    <t>ТК. ТАБЛИЦА ОДИНАКОВАЯ ЗДЕСЬ БУДУТ ПРОСТО ЗНАЧЕНИЯ</t>
  </si>
  <si>
    <t>Sср</t>
  </si>
  <si>
    <t>v</t>
  </si>
  <si>
    <t>ПЗ 41</t>
  </si>
  <si>
    <t>ПЗ 42</t>
  </si>
  <si>
    <t>-</t>
  </si>
  <si>
    <t>№№</t>
  </si>
  <si>
    <t>Измеренные углы βизм(пра./лев.)</t>
  </si>
  <si>
    <t>Поправки vβ</t>
  </si>
  <si>
    <t>Исправленные углы β</t>
  </si>
  <si>
    <t>Дирекционные углы α</t>
  </si>
  <si>
    <t>Горизонтальные проложения сторон d, м</t>
  </si>
  <si>
    <t>Приращение координат, м</t>
  </si>
  <si>
    <t>Координаты точек хода, м</t>
  </si>
  <si>
    <t>вычисленные</t>
  </si>
  <si>
    <t>исправленные</t>
  </si>
  <si>
    <t>ΔX</t>
  </si>
  <si>
    <t>ΔY</t>
  </si>
  <si>
    <t>X</t>
  </si>
  <si>
    <t>Y</t>
  </si>
  <si>
    <t>ПЗ 40</t>
  </si>
  <si>
    <t>201°56,5'</t>
  </si>
  <si>
    <t xml:space="preserve"> 0° 0,5 ' 0"</t>
  </si>
  <si>
    <t>76°17,5'</t>
  </si>
  <si>
    <t>176°57,0'</t>
  </si>
  <si>
    <t xml:space="preserve"> 0° 0 ' 0"</t>
  </si>
  <si>
    <t>86°35,5'</t>
  </si>
  <si>
    <t>241°43,0'</t>
  </si>
  <si>
    <t>ПЗ 43</t>
  </si>
  <si>
    <t>Σβпр =</t>
  </si>
  <si>
    <t xml:space="preserve"> 783° 29,5 '</t>
  </si>
  <si>
    <t>Σβт =</t>
  </si>
  <si>
    <t>fβ =</t>
  </si>
  <si>
    <t>fβупр =</t>
  </si>
  <si>
    <t>fβдоп =</t>
  </si>
  <si>
    <t xml:space="preserve"> 0° 2,2'</t>
  </si>
  <si>
    <t>Σvβ =</t>
  </si>
  <si>
    <t>ΣΔXпр =</t>
  </si>
  <si>
    <t>ΣΔYпр =</t>
  </si>
  <si>
    <t>ΣΔXт =</t>
  </si>
  <si>
    <t>ΣΔYт =</t>
  </si>
  <si>
    <t>fx =</t>
  </si>
  <si>
    <t>fy =</t>
  </si>
  <si>
    <t>fабс =</t>
  </si>
  <si>
    <t>fотн =</t>
  </si>
  <si>
    <t>S</t>
  </si>
  <si>
    <t>V пр</t>
  </si>
  <si>
    <t>V обр</t>
  </si>
  <si>
    <t>h прям</t>
  </si>
  <si>
    <t>h обр</t>
  </si>
  <si>
    <t>h ср</t>
  </si>
  <si>
    <t>V h</t>
  </si>
  <si>
    <t>h исп</t>
  </si>
  <si>
    <t>H</t>
  </si>
  <si>
    <t xml:space="preserve"> 1° 31,5' </t>
  </si>
  <si>
    <t xml:space="preserve"> -1° 30,5' </t>
  </si>
  <si>
    <t xml:space="preserve"> -1° 44,5' </t>
  </si>
  <si>
    <t xml:space="preserve"> 1° 44,5' </t>
  </si>
  <si>
    <t xml:space="preserve"> 0° 13' </t>
  </si>
  <si>
    <t xml:space="preserve"> -0° 12' </t>
  </si>
  <si>
    <t xml:space="preserve"> -0° 25,5' </t>
  </si>
  <si>
    <t xml:space="preserve"> 0° 26,5' </t>
  </si>
  <si>
    <t>fh=</t>
  </si>
  <si>
    <t>Σvh =</t>
  </si>
  <si>
    <t>fдоп =</t>
  </si>
  <si>
    <t>№№
точек
набл.</t>
  </si>
  <si>
    <t>Высота наведения v, м</t>
  </si>
  <si>
    <t>Отсчет по дальномеру kl, м</t>
  </si>
  <si>
    <t>Отсчет по гориз. Кругу</t>
  </si>
  <si>
    <t>Отсчет по вертик. Кругу</t>
  </si>
  <si>
    <t>Угол наклона u</t>
  </si>
  <si>
    <t>Гориз. проложение d, м</t>
  </si>
  <si>
    <t>Превышение h/, м</t>
  </si>
  <si>
    <t>i-V, м</t>
  </si>
  <si>
    <t>Полн. превыш. h, м</t>
  </si>
  <si>
    <t>Отметки реечн. точек Hр.т., м</t>
  </si>
  <si>
    <t xml:space="preserve"> 12° 2 ' 0"</t>
  </si>
  <si>
    <t xml:space="preserve"> 78° 11 ' 0"</t>
  </si>
  <si>
    <t xml:space="preserve"> 136° 24 ' 0"</t>
  </si>
  <si>
    <t xml:space="preserve"> 144° 55 ' 0"</t>
  </si>
  <si>
    <t xml:space="preserve"> 195° 27 ' 0"</t>
  </si>
  <si>
    <t xml:space="preserve"> 125° 25 ' 0"</t>
  </si>
  <si>
    <t xml:space="preserve"> 181° 21 ' 0"</t>
  </si>
  <si>
    <t xml:space="preserve"> 231° 15 ' 0"</t>
  </si>
  <si>
    <t xml:space="preserve"> 337° 36 ' 0"</t>
  </si>
  <si>
    <t xml:space="preserve"> 104° 16 ' 0"</t>
  </si>
  <si>
    <t xml:space="preserve"> 253° 9 ' 0"</t>
  </si>
  <si>
    <t xml:space="preserve"> 277° 48 ' 0"</t>
  </si>
  <si>
    <t xml:space="preserve"> 279° 40 ' 0"</t>
  </si>
  <si>
    <t xml:space="preserve"> 46° 59 ' 0"</t>
  </si>
  <si>
    <t xml:space="preserve"> 101° 27 ' 0"</t>
  </si>
  <si>
    <t xml:space="preserve"> 265° 25 ' 0"</t>
  </si>
  <si>
    <t xml:space="preserve"> 317° 26 ' 0"</t>
  </si>
  <si>
    <t xml:space="preserve"> 12° 57 ' 0"</t>
  </si>
  <si>
    <t xml:space="preserve"> 178° 1 ' 0"</t>
  </si>
  <si>
    <t xml:space="preserve"> 178° 33 ' 0"</t>
  </si>
  <si>
    <t xml:space="preserve"> 234° 56 ' 0"</t>
  </si>
  <si>
    <t xml:space="preserve"> 275° 51 ' 0"</t>
  </si>
  <si>
    <t xml:space="preserve"> 334° 46 ' 0"</t>
  </si>
  <si>
    <t>Углы</t>
  </si>
  <si>
    <t>Минуты</t>
  </si>
  <si>
    <t>Секунды</t>
  </si>
  <si>
    <t>УМС</t>
  </si>
  <si>
    <t>Дробь</t>
  </si>
  <si>
    <t>ПЗ41</t>
  </si>
  <si>
    <t>ПЗ42</t>
  </si>
  <si>
    <t>ПЗ41 - ПЗ42</t>
  </si>
  <si>
    <t>111 - ПЗ41</t>
  </si>
  <si>
    <t>112 - 111</t>
  </si>
  <si>
    <t>113 - 112</t>
  </si>
  <si>
    <t>ПЗ42 - 113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</si>
</sst>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"/>
    <numFmt numFmtId="165" formatCode="0.0000"/>
  </numFmts>
  <fonts count="11" x14ac:knownFonts="1"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sz val="11"/>
      <color rgb="FF9C5700"/>
      <name val="Calibri"/>
      <family val="2"/>
      <scheme val="minor"/>
    </font>
    <font>
      <i/>
      <sz val="11"/>
      <color rgb="FFFFFFFF"/>
      <name val="Calibri"/>
      <family val="3"/>
      <scheme val="minor"/>
    </font>
    <font>
      <sz val="11"/>
      <name val="Calibri"/>
      <family val="2"/>
      <scheme val="minor"/>
    </font>
    <font>
      <b/>
      <i/>
      <sz val="11"/>
      <name val="Calibri"/>
      <family val="2"/>
      <scheme val="minor"/>
    </font>
    <font>
      <sz val="13"/>
      <name val="Arial"/>
      <family val="2"/>
    </font>
    <font>
      <u/>
      <sz val="11"/>
      <name val="Calibri"/>
      <family val="2"/>
      <charset val="204"/>
      <scheme val="minor"/>
    </font>
    <font>
      <u/>
      <sz val="11"/>
      <name val="Calibri"/>
      <family val="2"/>
      <scheme val="minor"/>
    </font>
    <font>
      <sz val="18"/>
      <color theme="3"/>
      <name val="Calibri Light"/>
      <family val="2"/>
      <scheme val="major"/>
    </font>
  </fonts>
  <fills count="3">
    <fill>
      <patternFill patternType="none"/>
    </fill>
    <fill>
      <patternFill patternType="gray125"/>
    </fill>
    <fill>
      <patternFill patternType="solid">
        <fgColor rgb="FFFFEB9C"/>
      </patternFill>
    </fill>
  </fills>
  <borders count="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 style="thin">
        <color rgb="FF454545"/>
      </top>
      <bottom style="thin">
        <color rgb="FF454545"/>
      </bottom>
      <diagonal/>
    </border>
    <border>
      <left/>
      <right style="thin">
        <color rgb="FF454545"/>
      </right>
      <top style="thin">
        <color rgb="FF454545"/>
      </top>
      <bottom style="thin">
        <color rgb="FF454545"/>
      </bottom>
      <diagonal/>
    </border>
    <border>
      <left style="thin">
        <color rgb="FF454545"/>
      </left>
      <right style="thin">
        <color rgb="FF454545"/>
      </right>
      <top style="thin">
        <color rgb="FF454545"/>
      </top>
      <bottom style="thin">
        <color rgb="FF454545"/>
      </bottom>
      <diagonal/>
    </border>
  </borders>
  <cellStyleXfs count="5">
    <xf numFmtId="0" fontId="0" fillId="0" borderId="0"/>
    <xf numFmtId="0" fontId="1" fillId="0" borderId="1" applyNumberFormat="0" applyFill="0" applyAlignment="0" applyProtection="0"/>
    <xf numFmtId="0" fontId="2" fillId="0" borderId="2" applyNumberFormat="0" applyFill="0" applyAlignment="0" applyProtection="0"/>
    <xf numFmtId="0" fontId="3" fillId="2" borderId="0" applyNumberFormat="0" applyBorder="0" applyAlignment="0" applyProtection="0"/>
    <xf numFmtId="0" fontId="10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right" indent="2"/>
    </xf>
    <xf numFmtId="0" fontId="0" fillId="0" borderId="0" xfId="0" applyAlignment="1">
      <alignment vertical="center"/>
    </xf>
    <xf numFmtId="0" fontId="2" fillId="0" borderId="2" xfId="2" applyAlignment="1">
      <alignment horizontal="center" vertical="center"/>
    </xf>
    <xf numFmtId="0" fontId="4" fillId="0" borderId="0" xfId="0" applyFont="1" applyAlignment="1">
      <alignment horizontal="center"/>
    </xf>
    <xf numFmtId="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 wrapText="1"/>
    </xf>
    <xf numFmtId="2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left" vertical="center"/>
    </xf>
    <xf numFmtId="165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0" xfId="0" applyFont="1"/>
    <xf numFmtId="0" fontId="5" fillId="0" borderId="0" xfId="0" applyFont="1" applyAlignment="1">
      <alignment vertical="center"/>
    </xf>
    <xf numFmtId="0" fontId="5" fillId="0" borderId="0" xfId="0" applyFont="1" applyAlignment="1">
      <alignment horizontal="right" vertical="center"/>
    </xf>
    <xf numFmtId="2" fontId="5" fillId="0" borderId="0" xfId="0" applyNumberFormat="1" applyFont="1" applyAlignment="1">
      <alignment vertical="center"/>
    </xf>
    <xf numFmtId="165" fontId="0" fillId="0" borderId="0" xfId="0" applyNumberFormat="1"/>
    <xf numFmtId="0" fontId="7" fillId="0" borderId="0" xfId="0" applyFont="1"/>
    <xf numFmtId="2" fontId="5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2" fontId="5" fillId="0" borderId="0" xfId="0" applyNumberFormat="1" applyFont="1" applyAlignment="1">
      <alignment horizontal="center" vertical="center" wrapText="1"/>
    </xf>
    <xf numFmtId="0" fontId="5" fillId="0" borderId="0" xfId="0" applyFont="1" applyAlignment="1">
      <alignment horizontal="right" vertical="center" wrapText="1"/>
    </xf>
    <xf numFmtId="0" fontId="5" fillId="0" borderId="0" xfId="0" applyFont="1" applyAlignment="1">
      <alignment horizontal="left" vertical="center"/>
    </xf>
    <xf numFmtId="2" fontId="5" fillId="0" borderId="0" xfId="0" applyNumberFormat="1" applyFont="1" applyAlignment="1">
      <alignment horizontal="left" vertical="center"/>
    </xf>
    <xf numFmtId="164" fontId="5" fillId="0" borderId="0" xfId="0" applyNumberFormat="1" applyFont="1" applyAlignment="1">
      <alignment horizontal="left" vertical="center"/>
    </xf>
    <xf numFmtId="0" fontId="9" fillId="0" borderId="0" xfId="0" applyFont="1"/>
    <xf numFmtId="0" fontId="10" fillId="0" borderId="0" xfId="4" applyAlignment="1">
      <alignment horizontal="center"/>
    </xf>
    <xf numFmtId="0" fontId="10" fillId="0" borderId="0" xfId="4" applyAlignment="1">
      <alignment horizontal="right" indent="2"/>
    </xf>
    <xf numFmtId="49" fontId="0" fillId="0" borderId="0" xfId="0" applyNumberFormat="1" applyAlignment="1">
      <alignment horizontal="center" vertical="center"/>
    </xf>
    <xf numFmtId="0" fontId="1" fillId="0" borderId="1" xfId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5" fillId="0" borderId="0" xfId="0" applyFont="1"/>
    <xf numFmtId="0" fontId="3" fillId="2" borderId="5" xfId="3" applyBorder="1" applyAlignment="1">
      <alignment horizontal="center"/>
    </xf>
    <xf numFmtId="0" fontId="0" fillId="0" borderId="3" xfId="0" applyBorder="1"/>
    <xf numFmtId="0" fontId="0" fillId="0" borderId="4" xfId="0" applyBorder="1"/>
  </cellXfs>
  <cellStyles count="5">
    <cellStyle name="Heading 1" xfId="1" builtinId="16"/>
    <cellStyle name="Heading 2" xfId="2" builtinId="17"/>
    <cellStyle name="Neutral" xfId="3" builtinId="28"/>
    <cellStyle name="Normal" xfId="0" builtinId="0"/>
    <cellStyle name="Title" xfId="4" builtinId="15"/>
  </cellStyles>
  <dxfs count="9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97D1E-4A3F-4FD8-91E8-E1291DF8C5F8}">
  <sheetPr codeName="Sheet1"/>
  <dimension ref="A1:I54"/>
  <sheetViews>
    <sheetView workbookViewId="0">
      <selection activeCell="A26" sqref="A26:I26"/>
    </sheetView>
  </sheetViews>
  <sheetFormatPr defaultRowHeight="15" x14ac:dyDescent="0.25"/>
  <cols>
    <col min="1" max="1" width="9.140625" style="2" customWidth="1"/>
    <col min="2" max="3" width="13.42578125" style="2" bestFit="1" customWidth="1"/>
    <col min="4" max="4" width="11.5703125" style="2" bestFit="1" customWidth="1"/>
    <col min="5" max="6" width="13.42578125" style="2" bestFit="1" customWidth="1"/>
    <col min="7" max="7" width="11.5703125" style="2" bestFit="1" customWidth="1"/>
    <col min="8" max="8" width="14.28515625" style="3" bestFit="1" customWidth="1"/>
    <col min="9" max="9" width="14.42578125" style="3" bestFit="1" customWidth="1"/>
  </cols>
  <sheetData>
    <row r="1" spans="1:9" ht="20.25" thickBot="1" x14ac:dyDescent="0.3">
      <c r="A1" s="34" t="s">
        <v>0</v>
      </c>
      <c r="B1" s="34" t="s">
        <v>1</v>
      </c>
      <c r="C1" s="34"/>
      <c r="D1" s="34"/>
      <c r="E1" s="34" t="s">
        <v>2</v>
      </c>
      <c r="F1" s="34"/>
      <c r="G1" s="34"/>
      <c r="H1" s="34" t="s">
        <v>3</v>
      </c>
      <c r="I1" s="34"/>
    </row>
    <row r="2" spans="1:9" ht="18.75" thickTop="1" thickBot="1" x14ac:dyDescent="0.3">
      <c r="A2" s="34"/>
      <c r="B2" s="5" t="s">
        <v>4</v>
      </c>
      <c r="C2" s="5" t="s">
        <v>5</v>
      </c>
      <c r="D2" s="5" t="s">
        <v>6</v>
      </c>
      <c r="E2" s="5" t="s">
        <v>4</v>
      </c>
      <c r="F2" s="5" t="s">
        <v>5</v>
      </c>
      <c r="G2" s="5" t="s">
        <v>6</v>
      </c>
      <c r="H2" s="5" t="s">
        <v>7</v>
      </c>
      <c r="I2" s="5" t="s">
        <v>8</v>
      </c>
    </row>
    <row r="3" spans="1:9" ht="24" thickTop="1" x14ac:dyDescent="0.35">
      <c r="A3" s="31">
        <v>22</v>
      </c>
      <c r="B3" s="31">
        <v>1461.31</v>
      </c>
      <c r="C3" s="31">
        <v>2370.5700000000002</v>
      </c>
      <c r="D3" s="31">
        <v>132.24</v>
      </c>
      <c r="E3" s="31">
        <v>1336.48</v>
      </c>
      <c r="F3" s="31">
        <v>2587.0500000000002</v>
      </c>
      <c r="G3" s="31">
        <v>131.59</v>
      </c>
      <c r="H3" s="32" t="s">
        <v>9</v>
      </c>
      <c r="I3" s="32" t="s">
        <v>10</v>
      </c>
    </row>
    <row r="5" spans="1:9" x14ac:dyDescent="0.25">
      <c r="A5" s="2">
        <v>1</v>
      </c>
      <c r="B5" s="2">
        <v>1380.19</v>
      </c>
      <c r="C5" s="2">
        <v>2369.8200000000002</v>
      </c>
      <c r="D5" s="2">
        <v>106.14</v>
      </c>
      <c r="E5" s="2">
        <v>1342.74</v>
      </c>
      <c r="F5" s="2">
        <v>2616.89</v>
      </c>
      <c r="G5" s="2">
        <v>105.5</v>
      </c>
      <c r="H5" s="3" t="s">
        <v>11</v>
      </c>
      <c r="I5" s="3" t="s">
        <v>12</v>
      </c>
    </row>
    <row r="6" spans="1:9" x14ac:dyDescent="0.25">
      <c r="A6" s="2">
        <v>2</v>
      </c>
      <c r="B6" s="2">
        <v>1384.66</v>
      </c>
      <c r="C6" s="2">
        <v>2366.65</v>
      </c>
      <c r="D6" s="2">
        <v>106.86</v>
      </c>
      <c r="E6" s="2">
        <v>1342.83</v>
      </c>
      <c r="F6" s="2">
        <v>2613.02</v>
      </c>
      <c r="G6" s="2">
        <v>106.42</v>
      </c>
      <c r="H6" s="3" t="s">
        <v>13</v>
      </c>
      <c r="I6" s="3" t="s">
        <v>14</v>
      </c>
    </row>
    <row r="7" spans="1:9" x14ac:dyDescent="0.25">
      <c r="A7" s="2">
        <v>3</v>
      </c>
      <c r="B7" s="2">
        <v>1389.07</v>
      </c>
      <c r="C7" s="2">
        <v>2363.4299999999998</v>
      </c>
      <c r="D7" s="2">
        <v>107.81</v>
      </c>
      <c r="E7" s="2">
        <v>1342.88</v>
      </c>
      <c r="F7" s="2">
        <v>2609.0100000000002</v>
      </c>
      <c r="G7" s="2">
        <v>107.35</v>
      </c>
      <c r="H7" s="3" t="s">
        <v>15</v>
      </c>
      <c r="I7" s="3" t="s">
        <v>16</v>
      </c>
    </row>
    <row r="8" spans="1:9" x14ac:dyDescent="0.25">
      <c r="A8" s="2">
        <v>4</v>
      </c>
      <c r="B8" s="2">
        <v>1393.43</v>
      </c>
      <c r="C8" s="2">
        <v>2360.16</v>
      </c>
      <c r="D8" s="2">
        <v>108.83</v>
      </c>
      <c r="E8" s="2">
        <v>1342.88</v>
      </c>
      <c r="F8" s="2">
        <v>2604.89</v>
      </c>
      <c r="G8" s="2">
        <v>108.2</v>
      </c>
      <c r="H8" s="3" t="s">
        <v>17</v>
      </c>
      <c r="I8" s="3" t="s">
        <v>18</v>
      </c>
    </row>
    <row r="9" spans="1:9" x14ac:dyDescent="0.25">
      <c r="A9" s="2">
        <v>5</v>
      </c>
      <c r="B9" s="2">
        <v>1397.73</v>
      </c>
      <c r="C9" s="2">
        <v>2356.85</v>
      </c>
      <c r="D9" s="2">
        <v>109.74</v>
      </c>
      <c r="E9" s="2">
        <v>1342.85</v>
      </c>
      <c r="F9" s="2">
        <v>2600.65</v>
      </c>
      <c r="G9" s="2">
        <v>109.13</v>
      </c>
      <c r="H9" s="3" t="s">
        <v>19</v>
      </c>
      <c r="I9" s="3" t="s">
        <v>20</v>
      </c>
    </row>
    <row r="10" spans="1:9" x14ac:dyDescent="0.25">
      <c r="A10" s="2">
        <v>6</v>
      </c>
      <c r="B10" s="2">
        <v>1401.98</v>
      </c>
      <c r="C10" s="2">
        <v>2354.31</v>
      </c>
      <c r="D10" s="2">
        <v>111.29</v>
      </c>
      <c r="E10" s="2">
        <v>1342.79</v>
      </c>
      <c r="F10" s="2">
        <v>2597.09</v>
      </c>
      <c r="G10" s="2">
        <v>110.67</v>
      </c>
      <c r="H10" s="3" t="s">
        <v>21</v>
      </c>
      <c r="I10" s="3" t="s">
        <v>22</v>
      </c>
    </row>
    <row r="11" spans="1:9" x14ac:dyDescent="0.25">
      <c r="A11" s="2">
        <v>7</v>
      </c>
      <c r="B11" s="2">
        <v>1406.17</v>
      </c>
      <c r="C11" s="2">
        <v>2355.66</v>
      </c>
      <c r="D11" s="2">
        <v>111.27</v>
      </c>
      <c r="E11" s="2">
        <v>1342.68</v>
      </c>
      <c r="F11" s="2">
        <v>2597.35</v>
      </c>
      <c r="G11" s="2">
        <v>110.82</v>
      </c>
      <c r="H11" s="3" t="s">
        <v>23</v>
      </c>
      <c r="I11" s="3" t="s">
        <v>24</v>
      </c>
    </row>
    <row r="12" spans="1:9" x14ac:dyDescent="0.25">
      <c r="A12" s="2">
        <v>8</v>
      </c>
      <c r="B12" s="2">
        <v>1410.3</v>
      </c>
      <c r="C12" s="2">
        <v>2356.9699999999998</v>
      </c>
      <c r="D12" s="2">
        <v>111.8</v>
      </c>
      <c r="E12" s="2">
        <v>1342.53</v>
      </c>
      <c r="F12" s="2">
        <v>2597.4899999999998</v>
      </c>
      <c r="G12" s="2">
        <v>111.33</v>
      </c>
      <c r="H12" s="3" t="s">
        <v>25</v>
      </c>
      <c r="I12" s="3" t="s">
        <v>26</v>
      </c>
    </row>
    <row r="13" spans="1:9" x14ac:dyDescent="0.25">
      <c r="A13" s="2">
        <v>9</v>
      </c>
      <c r="B13" s="2">
        <v>1414.38</v>
      </c>
      <c r="C13" s="2">
        <v>2358.23</v>
      </c>
      <c r="D13" s="2">
        <v>112.64</v>
      </c>
      <c r="E13" s="2">
        <v>1342.35</v>
      </c>
      <c r="F13" s="2">
        <v>2597.52</v>
      </c>
      <c r="G13" s="2">
        <v>112.21</v>
      </c>
      <c r="H13" s="3" t="s">
        <v>27</v>
      </c>
      <c r="I13" s="3" t="s">
        <v>28</v>
      </c>
    </row>
    <row r="14" spans="1:9" x14ac:dyDescent="0.25">
      <c r="A14" s="2">
        <v>10</v>
      </c>
      <c r="B14" s="2">
        <v>1418.39</v>
      </c>
      <c r="C14" s="2">
        <v>2359.4499999999998</v>
      </c>
      <c r="D14" s="2">
        <v>114.09</v>
      </c>
      <c r="E14" s="2">
        <v>1342.13</v>
      </c>
      <c r="F14" s="2">
        <v>2597.42</v>
      </c>
      <c r="G14" s="2">
        <v>113.44</v>
      </c>
      <c r="H14" s="3" t="s">
        <v>29</v>
      </c>
      <c r="I14" s="3" t="s">
        <v>30</v>
      </c>
    </row>
    <row r="15" spans="1:9" x14ac:dyDescent="0.25">
      <c r="A15" s="2">
        <v>11</v>
      </c>
      <c r="B15" s="2">
        <v>1422.34</v>
      </c>
      <c r="C15" s="2">
        <v>2360.63</v>
      </c>
      <c r="D15" s="2">
        <v>115.3</v>
      </c>
      <c r="E15" s="2">
        <v>1341.86</v>
      </c>
      <c r="F15" s="2">
        <v>2597.21</v>
      </c>
      <c r="G15" s="2">
        <v>114.66</v>
      </c>
      <c r="H15" s="3" t="s">
        <v>31</v>
      </c>
      <c r="I15" s="3" t="s">
        <v>32</v>
      </c>
    </row>
    <row r="16" spans="1:9" x14ac:dyDescent="0.25">
      <c r="A16" s="2">
        <v>12</v>
      </c>
      <c r="B16" s="2">
        <v>1426.22</v>
      </c>
      <c r="C16" s="2">
        <v>2361.7600000000002</v>
      </c>
      <c r="D16" s="2">
        <v>115.62</v>
      </c>
      <c r="E16" s="2">
        <v>1341.57</v>
      </c>
      <c r="F16" s="2">
        <v>2596.87</v>
      </c>
      <c r="G16" s="2">
        <v>115.18</v>
      </c>
      <c r="H16" s="3" t="s">
        <v>33</v>
      </c>
      <c r="I16" s="3" t="s">
        <v>34</v>
      </c>
    </row>
    <row r="17" spans="1:9" x14ac:dyDescent="0.25">
      <c r="A17" s="2">
        <v>13</v>
      </c>
      <c r="B17" s="2">
        <v>1430.04</v>
      </c>
      <c r="C17" s="2">
        <v>2362.84</v>
      </c>
      <c r="D17" s="2">
        <v>116.72</v>
      </c>
      <c r="E17" s="2">
        <v>1341.23</v>
      </c>
      <c r="F17" s="2">
        <v>2596.42</v>
      </c>
      <c r="G17" s="2">
        <v>116.27</v>
      </c>
      <c r="H17" s="3" t="s">
        <v>35</v>
      </c>
      <c r="I17" s="3" t="s">
        <v>36</v>
      </c>
    </row>
    <row r="18" spans="1:9" x14ac:dyDescent="0.25">
      <c r="A18" s="2">
        <v>14</v>
      </c>
      <c r="B18" s="2">
        <v>1433.8</v>
      </c>
      <c r="C18" s="2">
        <v>2363.89</v>
      </c>
      <c r="D18" s="2">
        <v>117.98</v>
      </c>
      <c r="E18" s="2">
        <v>1340.85</v>
      </c>
      <c r="F18" s="2">
        <v>2595.85</v>
      </c>
      <c r="G18" s="2">
        <v>117.36</v>
      </c>
      <c r="H18" s="3" t="s">
        <v>37</v>
      </c>
      <c r="I18" s="3" t="s">
        <v>38</v>
      </c>
    </row>
    <row r="19" spans="1:9" x14ac:dyDescent="0.25">
      <c r="A19" s="2">
        <v>15</v>
      </c>
      <c r="B19" s="2">
        <v>1437.48</v>
      </c>
      <c r="C19" s="2">
        <v>2364.88</v>
      </c>
      <c r="D19" s="2">
        <v>119.34</v>
      </c>
      <c r="E19" s="2">
        <v>1340.44</v>
      </c>
      <c r="F19" s="2">
        <v>2595.16</v>
      </c>
      <c r="G19" s="2">
        <v>118.73</v>
      </c>
      <c r="H19" s="3" t="s">
        <v>39</v>
      </c>
      <c r="I19" s="3" t="s">
        <v>40</v>
      </c>
    </row>
    <row r="20" spans="1:9" x14ac:dyDescent="0.25">
      <c r="A20" s="2">
        <v>16</v>
      </c>
      <c r="B20" s="2">
        <v>1441.1</v>
      </c>
      <c r="C20" s="2">
        <v>2365.83</v>
      </c>
      <c r="D20" s="2">
        <v>120.08</v>
      </c>
      <c r="E20" s="2">
        <v>1339.98</v>
      </c>
      <c r="F20" s="2">
        <v>2594.35</v>
      </c>
      <c r="G20" s="2">
        <v>119.61</v>
      </c>
      <c r="H20" s="3" t="s">
        <v>41</v>
      </c>
      <c r="I20" s="3" t="s">
        <v>42</v>
      </c>
    </row>
    <row r="21" spans="1:9" x14ac:dyDescent="0.25">
      <c r="A21" s="2">
        <v>17</v>
      </c>
      <c r="B21" s="2">
        <v>1444.65</v>
      </c>
      <c r="C21" s="2">
        <v>2366.7399999999998</v>
      </c>
      <c r="D21" s="2">
        <v>121.07</v>
      </c>
      <c r="E21" s="2">
        <v>1339.49</v>
      </c>
      <c r="F21" s="2">
        <v>2593.4299999999998</v>
      </c>
      <c r="G21" s="2">
        <v>120.44</v>
      </c>
      <c r="H21" s="3" t="s">
        <v>43</v>
      </c>
      <c r="I21" s="3" t="s">
        <v>44</v>
      </c>
    </row>
    <row r="22" spans="1:9" x14ac:dyDescent="0.25">
      <c r="A22" s="2">
        <v>18</v>
      </c>
      <c r="B22" s="2">
        <v>1448.13</v>
      </c>
      <c r="C22" s="2">
        <v>2367.6</v>
      </c>
      <c r="D22" s="2">
        <v>122.01</v>
      </c>
      <c r="E22" s="2">
        <v>1338.97</v>
      </c>
      <c r="F22" s="2">
        <v>2592.39</v>
      </c>
      <c r="G22" s="2">
        <v>121.55</v>
      </c>
      <c r="H22" s="3" t="s">
        <v>45</v>
      </c>
      <c r="I22" s="3" t="s">
        <v>46</v>
      </c>
    </row>
    <row r="23" spans="1:9" x14ac:dyDescent="0.25">
      <c r="A23" s="2">
        <v>19</v>
      </c>
      <c r="B23" s="2">
        <v>1451.54</v>
      </c>
      <c r="C23" s="2">
        <v>2368.41</v>
      </c>
      <c r="D23" s="2">
        <v>122.99</v>
      </c>
      <c r="E23" s="2">
        <v>1338.4</v>
      </c>
      <c r="F23" s="2">
        <v>2591.23</v>
      </c>
      <c r="G23" s="2">
        <v>122.34</v>
      </c>
      <c r="H23" s="3" t="s">
        <v>47</v>
      </c>
      <c r="I23" s="3" t="s">
        <v>48</v>
      </c>
    </row>
    <row r="24" spans="1:9" x14ac:dyDescent="0.25">
      <c r="A24" s="2">
        <v>20</v>
      </c>
      <c r="B24" s="2">
        <v>1454.87</v>
      </c>
      <c r="C24" s="2">
        <v>2369.1799999999998</v>
      </c>
      <c r="D24" s="2">
        <v>124.02</v>
      </c>
      <c r="E24" s="2">
        <v>1337.8</v>
      </c>
      <c r="F24" s="2">
        <v>2589.9499999999998</v>
      </c>
      <c r="G24" s="2">
        <v>123.58</v>
      </c>
      <c r="H24" s="3" t="s">
        <v>49</v>
      </c>
      <c r="I24" s="3" t="s">
        <v>50</v>
      </c>
    </row>
    <row r="25" spans="1:9" x14ac:dyDescent="0.25">
      <c r="A25" s="2">
        <v>21</v>
      </c>
      <c r="B25" s="2">
        <v>1458.13</v>
      </c>
      <c r="C25" s="2">
        <v>2369.9</v>
      </c>
      <c r="D25" s="2">
        <v>125.14</v>
      </c>
      <c r="E25" s="2">
        <v>1337.16</v>
      </c>
      <c r="F25" s="2">
        <v>2588.56</v>
      </c>
      <c r="G25" s="2">
        <v>124.71</v>
      </c>
      <c r="H25" s="3" t="s">
        <v>51</v>
      </c>
      <c r="I25" s="3" t="s">
        <v>52</v>
      </c>
    </row>
    <row r="26" spans="1:9" x14ac:dyDescent="0.25">
      <c r="A26" s="2">
        <v>22</v>
      </c>
      <c r="B26" s="2">
        <v>1461.31</v>
      </c>
      <c r="C26" s="2">
        <v>2370.5700000000002</v>
      </c>
      <c r="D26" s="2">
        <v>132.24</v>
      </c>
      <c r="E26" s="2">
        <v>1336.48</v>
      </c>
      <c r="F26" s="2">
        <v>2587.0500000000002</v>
      </c>
      <c r="G26" s="2">
        <v>131.59</v>
      </c>
      <c r="H26" s="3" t="s">
        <v>9</v>
      </c>
      <c r="I26" s="3" t="s">
        <v>10</v>
      </c>
    </row>
    <row r="27" spans="1:9" x14ac:dyDescent="0.25">
      <c r="A27" s="2">
        <v>23</v>
      </c>
      <c r="B27" s="2">
        <v>1464.42</v>
      </c>
      <c r="C27" s="2">
        <v>2371.19</v>
      </c>
      <c r="D27" s="2">
        <v>129.02000000000001</v>
      </c>
      <c r="E27" s="2">
        <v>1335.77</v>
      </c>
      <c r="F27" s="2">
        <v>2585.42</v>
      </c>
      <c r="G27" s="2">
        <v>128.41</v>
      </c>
      <c r="H27" s="3" t="s">
        <v>53</v>
      </c>
      <c r="I27" s="3" t="s">
        <v>54</v>
      </c>
    </row>
    <row r="28" spans="1:9" x14ac:dyDescent="0.25">
      <c r="A28" s="2">
        <v>24</v>
      </c>
      <c r="B28" s="2">
        <v>1467.45</v>
      </c>
      <c r="C28" s="2">
        <v>2371.77</v>
      </c>
      <c r="D28" s="2">
        <v>137.13999999999999</v>
      </c>
      <c r="E28" s="2">
        <v>1335.02</v>
      </c>
      <c r="F28" s="2">
        <v>2583.6799999999998</v>
      </c>
      <c r="G28" s="2">
        <v>136.69999999999999</v>
      </c>
      <c r="H28" s="3" t="s">
        <v>55</v>
      </c>
      <c r="I28" s="3" t="s">
        <v>56</v>
      </c>
    </row>
    <row r="29" spans="1:9" x14ac:dyDescent="0.25">
      <c r="A29" s="2">
        <v>25</v>
      </c>
      <c r="B29" s="2">
        <v>1470.41</v>
      </c>
      <c r="C29" s="2">
        <v>2372.3000000000002</v>
      </c>
      <c r="D29" s="2">
        <v>129.93</v>
      </c>
      <c r="E29" s="2">
        <v>1334.24</v>
      </c>
      <c r="F29" s="2">
        <v>2581.83</v>
      </c>
      <c r="G29" s="2">
        <v>129.31</v>
      </c>
      <c r="H29" s="3" t="s">
        <v>57</v>
      </c>
      <c r="I29" s="3" t="s">
        <v>58</v>
      </c>
    </row>
    <row r="30" spans="1:9" x14ac:dyDescent="0.25">
      <c r="A30" s="2">
        <v>26</v>
      </c>
      <c r="B30" s="2">
        <v>1473.28</v>
      </c>
      <c r="C30" s="2">
        <v>2372.7800000000002</v>
      </c>
      <c r="D30" s="2">
        <v>128.30000000000001</v>
      </c>
      <c r="E30" s="2">
        <v>1333.42</v>
      </c>
      <c r="F30" s="2">
        <v>2579.86</v>
      </c>
      <c r="G30" s="2">
        <v>127.65</v>
      </c>
      <c r="H30" s="3" t="s">
        <v>59</v>
      </c>
      <c r="I30" s="3" t="s">
        <v>60</v>
      </c>
    </row>
    <row r="31" spans="1:9" x14ac:dyDescent="0.25">
      <c r="A31" s="2">
        <v>27</v>
      </c>
      <c r="B31" s="2">
        <v>1476.08</v>
      </c>
      <c r="C31" s="2">
        <v>2373.21</v>
      </c>
      <c r="D31" s="2">
        <v>125.98</v>
      </c>
      <c r="E31" s="2">
        <v>1332.56</v>
      </c>
      <c r="F31" s="2">
        <v>2577.7800000000002</v>
      </c>
      <c r="G31" s="2">
        <v>125.53</v>
      </c>
      <c r="H31" s="3" t="s">
        <v>61</v>
      </c>
      <c r="I31" s="3" t="s">
        <v>62</v>
      </c>
    </row>
    <row r="32" spans="1:9" x14ac:dyDescent="0.25">
      <c r="A32" s="2">
        <v>28</v>
      </c>
      <c r="B32" s="2">
        <v>1478.79</v>
      </c>
      <c r="C32" s="2">
        <v>2373.59</v>
      </c>
      <c r="D32" s="2">
        <v>126.99</v>
      </c>
      <c r="E32" s="2">
        <v>1331.67</v>
      </c>
      <c r="F32" s="2">
        <v>2575.58</v>
      </c>
      <c r="G32" s="2">
        <v>126.37</v>
      </c>
      <c r="H32" s="3" t="s">
        <v>63</v>
      </c>
      <c r="I32" s="3" t="s">
        <v>64</v>
      </c>
    </row>
    <row r="33" spans="1:9" x14ac:dyDescent="0.25">
      <c r="A33" s="2">
        <v>29</v>
      </c>
      <c r="B33" s="2">
        <v>1481.42</v>
      </c>
      <c r="C33" s="2">
        <v>2373.9299999999998</v>
      </c>
      <c r="D33" s="2">
        <v>133.27000000000001</v>
      </c>
      <c r="E33" s="2">
        <v>1330.74</v>
      </c>
      <c r="F33" s="2">
        <v>2573.2800000000002</v>
      </c>
      <c r="G33" s="2">
        <v>132.66</v>
      </c>
      <c r="H33" s="3" t="s">
        <v>65</v>
      </c>
      <c r="I33" s="3" t="s">
        <v>66</v>
      </c>
    </row>
    <row r="34" spans="1:9" x14ac:dyDescent="0.25">
      <c r="A34" s="2">
        <v>30</v>
      </c>
      <c r="B34" s="2">
        <v>1483.98</v>
      </c>
      <c r="C34" s="2">
        <v>2374.2199999999998</v>
      </c>
      <c r="D34" s="2">
        <v>139.19</v>
      </c>
      <c r="E34" s="2">
        <v>1329.77</v>
      </c>
      <c r="F34" s="2">
        <v>2570.86</v>
      </c>
      <c r="G34" s="2">
        <v>138.72</v>
      </c>
      <c r="H34" s="3" t="s">
        <v>67</v>
      </c>
      <c r="I34" s="3" t="s">
        <v>68</v>
      </c>
    </row>
    <row r="35" spans="1:9" x14ac:dyDescent="0.25">
      <c r="A35" s="2">
        <v>31</v>
      </c>
      <c r="B35" s="2">
        <v>1486.44</v>
      </c>
      <c r="C35" s="2">
        <v>2374.46</v>
      </c>
      <c r="D35" s="2">
        <v>139.78</v>
      </c>
      <c r="E35" s="2">
        <v>1328.78</v>
      </c>
      <c r="F35" s="2">
        <v>2568.33</v>
      </c>
      <c r="G35" s="2">
        <v>139.15</v>
      </c>
      <c r="H35" s="3" t="s">
        <v>69</v>
      </c>
      <c r="I35" s="3" t="s">
        <v>70</v>
      </c>
    </row>
    <row r="36" spans="1:9" x14ac:dyDescent="0.25">
      <c r="A36" s="2">
        <v>32</v>
      </c>
      <c r="B36" s="2">
        <v>1488.83</v>
      </c>
      <c r="C36" s="2">
        <v>2374.65</v>
      </c>
      <c r="D36" s="2">
        <v>133.83000000000001</v>
      </c>
      <c r="E36" s="2">
        <v>1327.75</v>
      </c>
      <c r="F36" s="2">
        <v>2565.69</v>
      </c>
      <c r="G36" s="2">
        <v>133.19</v>
      </c>
      <c r="H36" s="3" t="s">
        <v>71</v>
      </c>
      <c r="I36" s="3" t="s">
        <v>72</v>
      </c>
    </row>
    <row r="37" spans="1:9" x14ac:dyDescent="0.25">
      <c r="A37" s="2">
        <v>33</v>
      </c>
      <c r="B37" s="2">
        <v>1491.13</v>
      </c>
      <c r="C37" s="2">
        <v>2374.79</v>
      </c>
      <c r="D37" s="2">
        <v>137.75</v>
      </c>
      <c r="E37" s="2">
        <v>1326.68</v>
      </c>
      <c r="F37" s="2">
        <v>2562.9499999999998</v>
      </c>
      <c r="G37" s="2">
        <v>137.29</v>
      </c>
      <c r="H37" s="3" t="s">
        <v>73</v>
      </c>
      <c r="I37" s="3" t="s">
        <v>74</v>
      </c>
    </row>
    <row r="38" spans="1:9" x14ac:dyDescent="0.25">
      <c r="A38" s="2">
        <v>34</v>
      </c>
      <c r="B38" s="2">
        <v>1493.34</v>
      </c>
      <c r="C38" s="2">
        <v>2374.88</v>
      </c>
      <c r="D38" s="2">
        <v>135.9</v>
      </c>
      <c r="E38" s="2">
        <v>1325.58</v>
      </c>
      <c r="F38" s="2">
        <v>2560.09</v>
      </c>
      <c r="G38" s="2">
        <v>135.43</v>
      </c>
      <c r="H38" s="3" t="s">
        <v>75</v>
      </c>
      <c r="I38" s="3" t="s">
        <v>76</v>
      </c>
    </row>
    <row r="39" spans="1:9" x14ac:dyDescent="0.25">
      <c r="A39" s="2">
        <v>35</v>
      </c>
      <c r="B39" s="2">
        <v>1495.47</v>
      </c>
      <c r="C39" s="2">
        <v>2374.9299999999998</v>
      </c>
      <c r="D39" s="2">
        <v>133.91999999999999</v>
      </c>
      <c r="E39" s="2">
        <v>1324.45</v>
      </c>
      <c r="F39" s="2">
        <v>2557.13</v>
      </c>
      <c r="G39" s="2">
        <v>133.27000000000001</v>
      </c>
      <c r="H39" s="3" t="s">
        <v>77</v>
      </c>
      <c r="I39" s="3" t="s">
        <v>78</v>
      </c>
    </row>
    <row r="40" spans="1:9" x14ac:dyDescent="0.25">
      <c r="A40" s="2">
        <v>36</v>
      </c>
      <c r="B40" s="2">
        <v>1497.51</v>
      </c>
      <c r="C40" s="2">
        <v>2374.92</v>
      </c>
      <c r="D40" s="2">
        <v>116.44</v>
      </c>
      <c r="E40" s="2">
        <v>1323.28</v>
      </c>
      <c r="F40" s="2">
        <v>2554.06</v>
      </c>
      <c r="G40" s="2">
        <v>115.8</v>
      </c>
      <c r="H40" s="3" t="s">
        <v>79</v>
      </c>
      <c r="I40" s="3" t="s">
        <v>80</v>
      </c>
    </row>
    <row r="41" spans="1:9" x14ac:dyDescent="0.25">
      <c r="A41" s="2">
        <v>37</v>
      </c>
      <c r="B41" s="2">
        <v>1499.46</v>
      </c>
      <c r="C41" s="2">
        <v>2374.87</v>
      </c>
      <c r="D41" s="2">
        <v>147.51</v>
      </c>
      <c r="E41" s="2">
        <v>1322.09</v>
      </c>
      <c r="F41" s="2">
        <v>2550.89</v>
      </c>
      <c r="G41" s="2">
        <v>147.05000000000001</v>
      </c>
      <c r="H41" s="3" t="s">
        <v>81</v>
      </c>
      <c r="I41" s="3" t="s">
        <v>82</v>
      </c>
    </row>
    <row r="42" spans="1:9" x14ac:dyDescent="0.25">
      <c r="A42" s="2">
        <v>38</v>
      </c>
      <c r="B42" s="2">
        <v>1501.33</v>
      </c>
      <c r="C42" s="2">
        <v>2374.77</v>
      </c>
      <c r="D42" s="2">
        <v>151.79</v>
      </c>
      <c r="E42" s="2">
        <v>1320.86</v>
      </c>
      <c r="F42" s="2">
        <v>2547.61</v>
      </c>
      <c r="G42" s="2">
        <v>151.16999999999999</v>
      </c>
      <c r="H42" s="3" t="s">
        <v>83</v>
      </c>
      <c r="I42" s="3" t="s">
        <v>84</v>
      </c>
    </row>
    <row r="43" spans="1:9" x14ac:dyDescent="0.25">
      <c r="A43" s="2">
        <v>39</v>
      </c>
      <c r="B43" s="2">
        <v>1503.1</v>
      </c>
      <c r="C43" s="2">
        <v>2374.62</v>
      </c>
      <c r="D43" s="2">
        <v>154.6</v>
      </c>
      <c r="E43" s="2">
        <v>1319.59</v>
      </c>
      <c r="F43" s="2">
        <v>2544.23</v>
      </c>
      <c r="G43" s="2">
        <v>153.94999999999999</v>
      </c>
      <c r="H43" s="3" t="s">
        <v>85</v>
      </c>
      <c r="I43" s="3" t="s">
        <v>86</v>
      </c>
    </row>
    <row r="44" spans="1:9" x14ac:dyDescent="0.25">
      <c r="A44" s="2">
        <v>40</v>
      </c>
      <c r="B44" s="2">
        <v>1504.79</v>
      </c>
      <c r="C44" s="2">
        <v>2374.42</v>
      </c>
      <c r="D44" s="2">
        <v>156.53</v>
      </c>
      <c r="E44" s="2">
        <v>1318.3</v>
      </c>
      <c r="F44" s="2">
        <v>2540.75</v>
      </c>
      <c r="G44" s="2">
        <v>156.08000000000001</v>
      </c>
      <c r="H44" s="3" t="s">
        <v>87</v>
      </c>
      <c r="I44" s="3" t="s">
        <v>88</v>
      </c>
    </row>
    <row r="45" spans="1:9" x14ac:dyDescent="0.25">
      <c r="A45" s="2">
        <v>41</v>
      </c>
      <c r="B45" s="2">
        <v>1506.39</v>
      </c>
      <c r="C45" s="2">
        <v>2374.17</v>
      </c>
      <c r="D45" s="2">
        <v>157.76</v>
      </c>
      <c r="E45" s="2">
        <v>1316.98</v>
      </c>
      <c r="F45" s="2">
        <v>2537.17</v>
      </c>
      <c r="G45" s="2">
        <v>157.31</v>
      </c>
      <c r="H45" s="3" t="s">
        <v>89</v>
      </c>
      <c r="I45" s="3" t="s">
        <v>90</v>
      </c>
    </row>
    <row r="46" spans="1:9" x14ac:dyDescent="0.25">
      <c r="A46" s="2">
        <v>42</v>
      </c>
      <c r="B46" s="2">
        <v>1507.9</v>
      </c>
      <c r="C46" s="2">
        <v>2373.87</v>
      </c>
      <c r="D46" s="2">
        <v>158.99</v>
      </c>
      <c r="E46" s="2">
        <v>1315.62</v>
      </c>
      <c r="F46" s="2">
        <v>2533.4899999999998</v>
      </c>
      <c r="G46" s="2">
        <v>158.54</v>
      </c>
      <c r="H46" s="3" t="s">
        <v>91</v>
      </c>
      <c r="I46" s="3" t="s">
        <v>92</v>
      </c>
    </row>
    <row r="47" spans="1:9" x14ac:dyDescent="0.25">
      <c r="A47" s="2">
        <v>43</v>
      </c>
      <c r="B47" s="2">
        <v>1509.31</v>
      </c>
      <c r="C47" s="2">
        <v>2373.5300000000002</v>
      </c>
      <c r="D47" s="2">
        <v>160.22</v>
      </c>
      <c r="E47" s="2">
        <v>1314.24</v>
      </c>
      <c r="F47" s="2">
        <v>2529.6999999999998</v>
      </c>
      <c r="G47" s="2">
        <v>159.77000000000001</v>
      </c>
      <c r="H47" s="3" t="s">
        <v>93</v>
      </c>
      <c r="I47" s="3" t="s">
        <v>94</v>
      </c>
    </row>
    <row r="48" spans="1:9" x14ac:dyDescent="0.25">
      <c r="A48" s="2">
        <v>44</v>
      </c>
      <c r="B48" s="2">
        <v>1510.64</v>
      </c>
      <c r="C48" s="2">
        <v>2373.13</v>
      </c>
      <c r="D48" s="2">
        <v>161.44999999999999</v>
      </c>
      <c r="E48" s="2">
        <v>1312.82</v>
      </c>
      <c r="F48" s="2">
        <v>2525.83</v>
      </c>
      <c r="G48" s="2">
        <v>161</v>
      </c>
      <c r="H48" s="3" t="s">
        <v>95</v>
      </c>
      <c r="I48" s="3" t="s">
        <v>96</v>
      </c>
    </row>
    <row r="49" spans="1:9" x14ac:dyDescent="0.25">
      <c r="A49" s="2">
        <v>45</v>
      </c>
      <c r="B49" s="2">
        <v>1511.88</v>
      </c>
      <c r="C49" s="2">
        <v>2372.69</v>
      </c>
      <c r="D49" s="2">
        <v>162.68</v>
      </c>
      <c r="E49" s="2">
        <v>1311.38</v>
      </c>
      <c r="F49" s="2">
        <v>2521.85</v>
      </c>
      <c r="G49" s="2">
        <v>162.22999999999999</v>
      </c>
      <c r="H49" s="3" t="s">
        <v>97</v>
      </c>
      <c r="I49" s="3" t="s">
        <v>98</v>
      </c>
    </row>
    <row r="50" spans="1:9" x14ac:dyDescent="0.25">
      <c r="A50" s="2">
        <v>46</v>
      </c>
      <c r="B50" s="2">
        <v>1513.02</v>
      </c>
      <c r="C50" s="2">
        <v>2372.1999999999998</v>
      </c>
      <c r="D50" s="2">
        <v>163.91</v>
      </c>
      <c r="E50" s="2">
        <v>1309.9100000000001</v>
      </c>
      <c r="F50" s="2">
        <v>2517.7800000000002</v>
      </c>
      <c r="G50" s="2">
        <v>163.46</v>
      </c>
      <c r="H50" s="3" t="s">
        <v>99</v>
      </c>
      <c r="I50" s="3" t="s">
        <v>100</v>
      </c>
    </row>
    <row r="51" spans="1:9" x14ac:dyDescent="0.25">
      <c r="A51" s="2">
        <v>47</v>
      </c>
      <c r="B51" s="2">
        <v>1514.07</v>
      </c>
      <c r="C51" s="2">
        <v>2371.66</v>
      </c>
      <c r="D51" s="2">
        <v>165.14</v>
      </c>
      <c r="E51" s="2">
        <v>1308.4100000000001</v>
      </c>
      <c r="F51" s="2">
        <v>2513.61</v>
      </c>
      <c r="G51" s="2">
        <v>164.69</v>
      </c>
      <c r="H51" s="3" t="s">
        <v>101</v>
      </c>
      <c r="I51" s="3" t="s">
        <v>102</v>
      </c>
    </row>
    <row r="52" spans="1:9" x14ac:dyDescent="0.25">
      <c r="A52" s="2">
        <v>48</v>
      </c>
      <c r="B52" s="2">
        <v>1515.03</v>
      </c>
      <c r="C52" s="2">
        <v>2371.08</v>
      </c>
      <c r="D52" s="2">
        <v>166.37</v>
      </c>
      <c r="E52" s="2">
        <v>1306.8800000000001</v>
      </c>
      <c r="F52" s="2">
        <v>2509.36</v>
      </c>
      <c r="G52" s="2">
        <v>165.92</v>
      </c>
      <c r="H52" s="3" t="s">
        <v>103</v>
      </c>
      <c r="I52" s="3" t="s">
        <v>104</v>
      </c>
    </row>
    <row r="53" spans="1:9" x14ac:dyDescent="0.25">
      <c r="A53" s="2">
        <v>49</v>
      </c>
      <c r="B53" s="2">
        <v>1515.89</v>
      </c>
      <c r="C53" s="2">
        <v>2370.4499999999998</v>
      </c>
      <c r="D53" s="2">
        <v>167.6</v>
      </c>
      <c r="E53" s="2">
        <v>1305.32</v>
      </c>
      <c r="F53" s="2">
        <v>2505.0100000000002</v>
      </c>
      <c r="G53" s="2">
        <v>167.15</v>
      </c>
      <c r="H53" s="3" t="s">
        <v>105</v>
      </c>
      <c r="I53" s="3" t="s">
        <v>106</v>
      </c>
    </row>
    <row r="54" spans="1:9" x14ac:dyDescent="0.25">
      <c r="A54" s="2">
        <v>50</v>
      </c>
      <c r="B54" s="2">
        <v>1516.66</v>
      </c>
      <c r="C54" s="2">
        <v>2369.77</v>
      </c>
      <c r="D54" s="2">
        <v>168.83</v>
      </c>
      <c r="E54" s="2">
        <v>1303.74</v>
      </c>
      <c r="F54" s="2">
        <v>2500.5700000000002</v>
      </c>
      <c r="G54" s="2">
        <v>168.38</v>
      </c>
      <c r="H54" s="3" t="s">
        <v>107</v>
      </c>
      <c r="I54" s="3" t="s">
        <v>108</v>
      </c>
    </row>
  </sheetData>
  <mergeCells count="4">
    <mergeCell ref="A1:A2"/>
    <mergeCell ref="B1:D1"/>
    <mergeCell ref="E1:G1"/>
    <mergeCell ref="H1:I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6953F1-24EF-4AB0-98E9-55E7B277FE42}">
  <sheetPr codeName="Sheet2"/>
  <dimension ref="A1:M41"/>
  <sheetViews>
    <sheetView zoomScaleNormal="100" workbookViewId="0">
      <selection activeCell="K7" sqref="K7"/>
    </sheetView>
  </sheetViews>
  <sheetFormatPr defaultRowHeight="15" x14ac:dyDescent="0.25"/>
  <cols>
    <col min="2" max="2" width="16.42578125" customWidth="1"/>
    <col min="4" max="4" width="15.7109375" customWidth="1"/>
    <col min="5" max="5" width="15.42578125" customWidth="1"/>
    <col min="6" max="6" width="18.7109375" customWidth="1"/>
  </cols>
  <sheetData>
    <row r="1" spans="1:13" x14ac:dyDescent="0.25">
      <c r="A1" s="35" t="s">
        <v>115</v>
      </c>
      <c r="B1" s="35" t="s">
        <v>116</v>
      </c>
      <c r="C1" s="35" t="s">
        <v>117</v>
      </c>
      <c r="D1" s="35" t="s">
        <v>118</v>
      </c>
      <c r="E1" s="35" t="s">
        <v>119</v>
      </c>
      <c r="F1" s="35" t="s">
        <v>120</v>
      </c>
      <c r="G1" s="35" t="s">
        <v>121</v>
      </c>
      <c r="H1" s="35"/>
      <c r="I1" s="35"/>
      <c r="J1" s="35"/>
      <c r="K1" s="35" t="s">
        <v>122</v>
      </c>
      <c r="L1" s="35"/>
      <c r="M1" s="35" t="s">
        <v>115</v>
      </c>
    </row>
    <row r="2" spans="1:13" x14ac:dyDescent="0.25">
      <c r="A2" s="35"/>
      <c r="B2" s="35"/>
      <c r="C2" s="35"/>
      <c r="D2" s="35"/>
      <c r="E2" s="35"/>
      <c r="F2" s="35"/>
      <c r="G2" s="35" t="s">
        <v>123</v>
      </c>
      <c r="H2" s="35"/>
      <c r="I2" s="35" t="s">
        <v>124</v>
      </c>
      <c r="J2" s="35"/>
      <c r="K2" s="35"/>
      <c r="L2" s="35"/>
      <c r="M2" s="35"/>
    </row>
    <row r="3" spans="1:13" ht="25.5" customHeight="1" x14ac:dyDescent="0.25">
      <c r="A3" s="35"/>
      <c r="B3" s="35"/>
      <c r="C3" s="35"/>
      <c r="D3" s="35"/>
      <c r="E3" s="35"/>
      <c r="F3" s="35"/>
      <c r="G3" s="13" t="s">
        <v>125</v>
      </c>
      <c r="H3" s="13" t="s">
        <v>126</v>
      </c>
      <c r="I3" s="13" t="s">
        <v>125</v>
      </c>
      <c r="J3" s="13" t="s">
        <v>126</v>
      </c>
      <c r="K3" s="13" t="s">
        <v>127</v>
      </c>
      <c r="L3" s="13" t="s">
        <v>128</v>
      </c>
      <c r="M3" s="35"/>
    </row>
    <row r="4" spans="1:13" x14ac:dyDescent="0.25">
      <c r="A4" s="13">
        <v>1</v>
      </c>
      <c r="B4" s="15">
        <v>2</v>
      </c>
      <c r="C4" s="13">
        <v>3</v>
      </c>
      <c r="D4" s="13">
        <v>4</v>
      </c>
      <c r="E4" s="13">
        <v>5</v>
      </c>
      <c r="F4" s="13">
        <v>6</v>
      </c>
      <c r="G4" s="13">
        <v>7</v>
      </c>
      <c r="H4" s="13">
        <v>8</v>
      </c>
      <c r="I4" s="13">
        <v>9</v>
      </c>
      <c r="J4" s="13">
        <v>10</v>
      </c>
      <c r="K4" s="13">
        <v>11</v>
      </c>
      <c r="L4" s="13">
        <v>12</v>
      </c>
      <c r="M4" s="13">
        <v>1</v>
      </c>
    </row>
    <row r="5" spans="1:13" ht="16.5" x14ac:dyDescent="0.25">
      <c r="A5" s="15" t="s">
        <v>129</v>
      </c>
      <c r="B5" s="15"/>
      <c r="C5" s="22"/>
      <c r="D5" s="15"/>
      <c r="E5" s="15"/>
      <c r="F5" s="23"/>
      <c r="G5" s="15"/>
      <c r="H5" s="15"/>
      <c r="I5" s="15"/>
      <c r="J5" s="15"/>
      <c r="K5" s="15"/>
      <c r="L5" s="15"/>
      <c r="M5" s="15" t="s">
        <v>129</v>
      </c>
    </row>
    <row r="6" spans="1:13" x14ac:dyDescent="0.25">
      <c r="A6" s="15"/>
      <c r="B6" s="15"/>
      <c r="C6" s="15"/>
      <c r="D6" s="15"/>
      <c r="E6" s="24" t="str">
        <f>Варианты!H3</f>
        <v>22°22'</v>
      </c>
      <c r="F6" s="23"/>
      <c r="G6" s="15"/>
      <c r="H6" s="15"/>
      <c r="I6" s="15"/>
      <c r="J6" s="15"/>
      <c r="K6" s="15"/>
      <c r="L6" s="15"/>
      <c r="M6" s="15"/>
    </row>
    <row r="7" spans="1:13" x14ac:dyDescent="0.25">
      <c r="A7" s="15" t="s">
        <v>112</v>
      </c>
      <c r="B7" s="15" t="s">
        <v>130</v>
      </c>
      <c r="C7" s="15" t="s">
        <v>131</v>
      </c>
      <c r="D7" s="15" t="str" cm="1">
        <f t="array" ref="D7">DMSfromNum(DMStoNum(B7)+DMStoNum(C7))</f>
        <v>210° 30' 0"</v>
      </c>
      <c r="E7" s="15"/>
      <c r="F7" s="23"/>
      <c r="G7" s="23">
        <f>-($B$28/SUM($F$8:$F$14))*F8</f>
        <v>-16.786511218817616</v>
      </c>
      <c r="H7" s="23">
        <f>-($D$28/SUM($F$8:$F$14))*F8</f>
        <v>-19.612581226388983</v>
      </c>
      <c r="I7" s="15"/>
      <c r="J7" s="15"/>
      <c r="K7" s="24">
        <f>Варианты!B3</f>
        <v>1461.31</v>
      </c>
      <c r="L7" s="24">
        <f>Варианты!C3</f>
        <v>2370.5700000000002</v>
      </c>
      <c r="M7" s="15" t="s">
        <v>112</v>
      </c>
    </row>
    <row r="8" spans="1:13" x14ac:dyDescent="0.25">
      <c r="A8" s="15"/>
      <c r="B8" s="15"/>
      <c r="C8" s="15"/>
      <c r="D8" s="15"/>
      <c r="E8" s="15" t="str">
        <f t="array" ref="E8">DMSfromNum(DMStoNum(E6)+180-DMStoNum(D7))</f>
        <v>-8° 8' 0"</v>
      </c>
      <c r="F8" s="23">
        <v>165.01</v>
      </c>
      <c r="G8" s="23">
        <f t="array" ref="G8">F8*COS(RADIANS(DMStoNum(E8)))</f>
        <v>163.3502497471801</v>
      </c>
      <c r="H8" s="23">
        <f t="array" ref="H8">F8*SIN(RADIANS(DMStoNum(E8)))</f>
        <v>-23.345149550471632</v>
      </c>
      <c r="I8" s="23">
        <f>G8+G7</f>
        <v>146.56373852836248</v>
      </c>
      <c r="J8" s="23">
        <f>H8+H7</f>
        <v>-42.957730776860615</v>
      </c>
      <c r="K8" s="15"/>
      <c r="L8" s="15"/>
      <c r="M8" s="15"/>
    </row>
    <row r="9" spans="1:13" x14ac:dyDescent="0.25">
      <c r="A9" s="15">
        <v>1</v>
      </c>
      <c r="B9" s="15" t="s">
        <v>132</v>
      </c>
      <c r="C9" s="15" t="s">
        <v>131</v>
      </c>
      <c r="D9" s="15" t="str" cm="1">
        <f t="array" ref="D9">DMSfromNum(DMStoNum(B9)+DMStoNum(C9))</f>
        <v>79° 0' 0"</v>
      </c>
      <c r="E9" s="15"/>
      <c r="F9" s="23"/>
      <c r="G9" s="23">
        <f>-($B$28/SUM($F$8:$F$14))*F10</f>
        <v>-13.078443017339511</v>
      </c>
      <c r="H9" s="23">
        <f>-($D$28/SUM($F$8:$F$14))*F10</f>
        <v>-15.280246303039622</v>
      </c>
      <c r="I9" s="15"/>
      <c r="J9" s="15"/>
      <c r="K9" s="23">
        <f>K7+I8</f>
        <v>1607.8737385283625</v>
      </c>
      <c r="L9" s="23">
        <f>L7+J8</f>
        <v>2327.6122692231397</v>
      </c>
      <c r="M9" s="15">
        <v>1</v>
      </c>
    </row>
    <row r="10" spans="1:13" x14ac:dyDescent="0.25">
      <c r="A10" s="15"/>
      <c r="B10" s="15"/>
      <c r="C10" s="15"/>
      <c r="D10" s="15"/>
      <c r="E10" s="15" t="str">
        <f t="array" ref="E10">DMSfromNum(DMStoNum(E8)+180-DMStoNum(D9))</f>
        <v>92° 52' 0"</v>
      </c>
      <c r="F10" s="23">
        <v>128.56</v>
      </c>
      <c r="G10" s="23">
        <f t="array" ref="G10">F10*COS(RADIANS(DMStoNum(E10)))</f>
        <v>-6.4295298868847368</v>
      </c>
      <c r="H10" s="23">
        <f t="array" ref="H10">F10*SIN(RADIANS(DMStoNum(E10)))</f>
        <v>128.39912283747756</v>
      </c>
      <c r="I10" s="23">
        <f>G10+G9</f>
        <v>-19.507972904224246</v>
      </c>
      <c r="J10" s="23">
        <f>H10+H9</f>
        <v>113.11887653443794</v>
      </c>
      <c r="K10" s="23"/>
      <c r="L10" s="23"/>
      <c r="M10" s="15"/>
    </row>
    <row r="11" spans="1:13" x14ac:dyDescent="0.25">
      <c r="A11" s="15">
        <v>2</v>
      </c>
      <c r="B11" s="15" t="s">
        <v>133</v>
      </c>
      <c r="C11" s="15" t="s">
        <v>134</v>
      </c>
      <c r="D11" s="15" t="str" cm="1">
        <f t="array" ref="D11">DMSfromNum(DMStoNum(B11)+DMStoNum(C11))</f>
        <v>185° 30' 0"</v>
      </c>
      <c r="E11" s="15"/>
      <c r="F11" s="23"/>
      <c r="G11" s="23">
        <f>-($B$28/SUM($F$8:$F$14))*F12</f>
        <v>-17.883163488006478</v>
      </c>
      <c r="H11" s="23">
        <f>-($D$28/SUM($F$8:$F$14))*F12</f>
        <v>-20.893858879988603</v>
      </c>
      <c r="I11" s="15"/>
      <c r="J11" s="15"/>
      <c r="K11" s="23">
        <f>K9+I10</f>
        <v>1588.3657656241382</v>
      </c>
      <c r="L11" s="23">
        <f>L9+J10</f>
        <v>2440.7311457575775</v>
      </c>
      <c r="M11" s="15">
        <v>2</v>
      </c>
    </row>
    <row r="12" spans="1:13" x14ac:dyDescent="0.25">
      <c r="A12" s="15"/>
      <c r="B12" s="15"/>
      <c r="C12" s="15"/>
      <c r="D12" s="15"/>
      <c r="E12" s="15" t="str">
        <f t="array" ref="E12">DMSfromNum(DMStoNum(E10)+180-DMStoNum(D11))</f>
        <v>87° 22' 0"</v>
      </c>
      <c r="F12" s="23">
        <v>175.79</v>
      </c>
      <c r="G12" s="23">
        <f t="array" ref="G12">F12*COS(RADIANS(DMStoNum(E12)))</f>
        <v>8.0765235240471114</v>
      </c>
      <c r="H12" s="23">
        <f t="array" ref="H12">F12*SIN(RADIANS(DMStoNum(E12)))</f>
        <v>175.60436745071436</v>
      </c>
      <c r="I12" s="23">
        <f>G12+G11</f>
        <v>-9.8066399639593662</v>
      </c>
      <c r="J12" s="23">
        <f>H12+H11</f>
        <v>154.71050857072575</v>
      </c>
      <c r="K12" s="23"/>
      <c r="L12" s="23"/>
      <c r="M12" s="15"/>
    </row>
    <row r="13" spans="1:13" x14ac:dyDescent="0.25">
      <c r="A13" s="15">
        <v>3</v>
      </c>
      <c r="B13" s="15" t="s">
        <v>135</v>
      </c>
      <c r="C13" s="15" t="s">
        <v>131</v>
      </c>
      <c r="D13" s="15" t="str" cm="1">
        <f t="array" ref="D13">DMSfromNum(DMStoNum(B13)+DMStoNum(C13))</f>
        <v>92° 0' 0"</v>
      </c>
      <c r="E13" s="15"/>
      <c r="F13" s="23"/>
      <c r="G13" s="23">
        <f>-($B$28/SUM($F$8:$F$14))*F14</f>
        <v>-22.419316056014946</v>
      </c>
      <c r="H13" s="23">
        <f>-($D$28/SUM($F$8:$F$14))*F14</f>
        <v>-26.193689174423394</v>
      </c>
      <c r="I13" s="15"/>
      <c r="J13" s="15"/>
      <c r="K13" s="23">
        <f>K11+I12</f>
        <v>1578.5591256601788</v>
      </c>
      <c r="L13" s="23">
        <f>L11+J12</f>
        <v>2595.4416543283032</v>
      </c>
      <c r="M13" s="15">
        <v>3</v>
      </c>
    </row>
    <row r="14" spans="1:13" x14ac:dyDescent="0.25">
      <c r="A14" s="15"/>
      <c r="B14" s="15"/>
      <c r="C14" s="15"/>
      <c r="D14" s="15"/>
      <c r="E14" s="15" t="str">
        <f t="array" ref="E14">DMSfromNum(DMStoNum(E12)+180-DMStoNum(D13))</f>
        <v>175° 22' 0"</v>
      </c>
      <c r="F14" s="23">
        <v>220.38</v>
      </c>
      <c r="G14" s="23">
        <f t="array" ref="G14">F14*COS(RADIANS(DMStoNum(E14)))</f>
        <v>-219.65980960416385</v>
      </c>
      <c r="H14" s="15">
        <f t="array" ref="H14">F14*SIN(RADIANS(DMStoNum(E14)))</f>
        <v>17.802034846120325</v>
      </c>
      <c r="I14" s="23">
        <f>G14+G13</f>
        <v>-242.07912566017879</v>
      </c>
      <c r="J14" s="23">
        <f>H14+H13</f>
        <v>-8.3916543283030691</v>
      </c>
      <c r="K14" s="23"/>
      <c r="L14" s="23"/>
      <c r="M14" s="15"/>
    </row>
    <row r="15" spans="1:13" x14ac:dyDescent="0.25">
      <c r="A15" s="15" t="s">
        <v>113</v>
      </c>
      <c r="B15" s="15" t="s">
        <v>136</v>
      </c>
      <c r="C15" s="15" t="s">
        <v>134</v>
      </c>
      <c r="D15" s="15" t="str" cm="1">
        <f t="array" ref="D15">DMSfromNum(DMStoNum(B15)+DMStoNum(C15))</f>
        <v>248° 10' 0"</v>
      </c>
      <c r="E15" s="15"/>
      <c r="F15" s="23"/>
      <c r="G15" s="15"/>
      <c r="H15" s="15"/>
      <c r="I15" s="15"/>
      <c r="J15" s="15"/>
      <c r="K15" s="24">
        <f>Варианты!E3</f>
        <v>1336.48</v>
      </c>
      <c r="L15" s="24">
        <f>Варианты!F3</f>
        <v>2587.0500000000002</v>
      </c>
      <c r="M15" s="15" t="s">
        <v>113</v>
      </c>
    </row>
    <row r="16" spans="1:13" x14ac:dyDescent="0.25">
      <c r="A16" s="15"/>
      <c r="B16" s="15"/>
      <c r="C16" s="15"/>
      <c r="D16" s="15"/>
      <c r="E16" s="15" t="str">
        <f t="array" ref="E16">DMSfromNum(DMStoNum(E14)+180-DMStoNum(D15))</f>
        <v>107° 12' 0"</v>
      </c>
      <c r="F16" s="23"/>
      <c r="G16" s="15"/>
      <c r="H16" s="15"/>
      <c r="I16" s="15"/>
      <c r="J16" s="15"/>
      <c r="K16" s="15"/>
      <c r="L16" s="15"/>
      <c r="M16" s="15"/>
    </row>
    <row r="17" spans="1:13" x14ac:dyDescent="0.25">
      <c r="A17" s="15" t="s">
        <v>137</v>
      </c>
      <c r="B17" s="15"/>
      <c r="C17" s="15"/>
      <c r="D17" s="15"/>
      <c r="E17" s="15"/>
      <c r="F17" s="23"/>
      <c r="G17" s="15"/>
      <c r="H17" s="15"/>
      <c r="I17" s="15"/>
      <c r="J17" s="15"/>
      <c r="K17" s="15"/>
      <c r="L17" s="15"/>
      <c r="M17" s="15" t="s">
        <v>137</v>
      </c>
    </row>
    <row r="18" spans="1:13" x14ac:dyDescent="0.25">
      <c r="A18" s="13"/>
      <c r="B18" s="15"/>
      <c r="C18" s="13"/>
      <c r="D18" s="13"/>
      <c r="E18" s="13"/>
      <c r="F18" s="25"/>
      <c r="G18" s="13"/>
      <c r="H18" s="13"/>
      <c r="I18" s="13"/>
      <c r="J18" s="13"/>
      <c r="K18" s="13"/>
      <c r="L18" s="13"/>
      <c r="M18" s="13"/>
    </row>
    <row r="19" spans="1:13" x14ac:dyDescent="0.25">
      <c r="A19" s="17"/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</row>
    <row r="20" spans="1:13" x14ac:dyDescent="0.25">
      <c r="A20" s="26" t="s">
        <v>138</v>
      </c>
      <c r="B20" s="27" t="s">
        <v>139</v>
      </c>
      <c r="C20" s="26"/>
      <c r="D20" s="13"/>
      <c r="E20" s="13"/>
      <c r="F20" s="25"/>
      <c r="G20" s="13"/>
      <c r="H20" s="13"/>
      <c r="I20" s="13"/>
      <c r="J20" s="13"/>
      <c r="K20" s="13"/>
      <c r="L20" s="13"/>
      <c r="M20" s="13"/>
    </row>
    <row r="21" spans="1:13" x14ac:dyDescent="0.25">
      <c r="A21" s="26" t="s">
        <v>140</v>
      </c>
      <c r="B21" s="27" t="str">
        <f t="array" ref="B21">DMSfromNum(DMStoNum(E6)-DMStoNum(E16)+DMStoNum("180°0'")*5)</f>
        <v>815° 10' 0"</v>
      </c>
      <c r="C21" s="26"/>
      <c r="D21" s="13"/>
      <c r="E21" s="13"/>
      <c r="F21" s="25"/>
      <c r="G21" s="13"/>
      <c r="H21" s="13"/>
      <c r="I21" s="13"/>
      <c r="J21" s="13"/>
      <c r="K21" s="13"/>
      <c r="L21" s="13"/>
      <c r="M21" s="13"/>
    </row>
    <row r="22" spans="1:13" x14ac:dyDescent="0.25">
      <c r="A22" s="26" t="s">
        <v>141</v>
      </c>
      <c r="B22" s="27" t="str">
        <f t="array" ref="B22">DMSfromNum(DMStoNum(B20)-DMStoNum(B21))</f>
        <v>-27° 15' 0"</v>
      </c>
      <c r="C22" s="26"/>
      <c r="D22" s="13"/>
      <c r="E22" s="13"/>
      <c r="F22" s="25"/>
      <c r="G22" s="13"/>
      <c r="H22" s="13"/>
      <c r="I22" s="13"/>
      <c r="J22" s="13"/>
      <c r="K22" s="13"/>
      <c r="L22" s="13"/>
      <c r="M22" s="13"/>
    </row>
    <row r="23" spans="1:13" x14ac:dyDescent="0.25">
      <c r="A23" s="26" t="s">
        <v>142</v>
      </c>
      <c r="B23" s="27" t="str">
        <f t="array" ref="B23">IF(OR(ISNUMBER(SEARCH("30"&amp;CHAR(34),B22)),ISNUMBER(SEARCH("0,5'",B22))),DMSfromNum(DMStoNum(B22)-DMStoNum("0~ 0' 30"&amp;CHAR(34))),B22)</f>
        <v>-27° 15' 0"</v>
      </c>
      <c r="C23" s="26"/>
      <c r="D23" s="13"/>
      <c r="E23" s="13"/>
      <c r="F23" s="25"/>
      <c r="G23" s="13"/>
      <c r="H23" s="13"/>
      <c r="I23" s="13"/>
      <c r="J23" s="13"/>
      <c r="K23" s="13"/>
      <c r="L23" s="13"/>
      <c r="M23" s="13"/>
    </row>
    <row r="24" spans="1:13" x14ac:dyDescent="0.25">
      <c r="A24" s="26" t="s">
        <v>143</v>
      </c>
      <c r="B24" s="27" t="s">
        <v>144</v>
      </c>
      <c r="C24" s="26"/>
      <c r="D24" s="13"/>
      <c r="E24" s="13"/>
      <c r="F24" s="25"/>
      <c r="G24" s="13"/>
      <c r="H24" s="13"/>
      <c r="I24" s="13"/>
      <c r="J24" s="13"/>
      <c r="K24" s="13"/>
      <c r="L24" s="13"/>
      <c r="M24" s="13"/>
    </row>
    <row r="25" spans="1:13" x14ac:dyDescent="0.25">
      <c r="A25" s="26" t="s">
        <v>145</v>
      </c>
      <c r="B25" s="27">
        <f t="array" ref="B25">-DMStoNum(B22)</f>
        <v>27.25</v>
      </c>
      <c r="C25" s="26"/>
      <c r="D25" s="13"/>
      <c r="E25" s="13"/>
      <c r="F25" s="25"/>
      <c r="G25" s="13"/>
      <c r="H25" s="13"/>
      <c r="I25" s="13"/>
      <c r="J25" s="13"/>
      <c r="K25" s="13"/>
      <c r="L25" s="13"/>
      <c r="M25" s="13"/>
    </row>
    <row r="26" spans="1:13" x14ac:dyDescent="0.25">
      <c r="A26" s="26" t="s">
        <v>146</v>
      </c>
      <c r="B26" s="28">
        <f>SUM(G8,G10,G12,G14)</f>
        <v>-54.662566219821372</v>
      </c>
      <c r="C26" s="26" t="s">
        <v>147</v>
      </c>
      <c r="D26" s="28">
        <f>SUM(H8,H10,H12,H14)</f>
        <v>298.46037558384063</v>
      </c>
      <c r="E26" s="13"/>
      <c r="F26" s="25"/>
      <c r="G26" s="13"/>
      <c r="H26" s="13"/>
      <c r="I26" s="13"/>
      <c r="J26" s="13"/>
      <c r="K26" s="13"/>
      <c r="L26" s="13"/>
      <c r="M26" s="13"/>
    </row>
    <row r="27" spans="1:13" x14ac:dyDescent="0.25">
      <c r="A27" s="26" t="s">
        <v>148</v>
      </c>
      <c r="B27" s="28">
        <f>Варианты!E3-Варианты!B3</f>
        <v>-124.82999999999993</v>
      </c>
      <c r="C27" s="26" t="s">
        <v>149</v>
      </c>
      <c r="D27" s="28">
        <f>Варианты!F3-Варианты!C3</f>
        <v>216.48000000000002</v>
      </c>
      <c r="E27" s="13"/>
      <c r="F27" s="25"/>
      <c r="G27" s="13"/>
      <c r="H27" s="13"/>
      <c r="I27" s="13"/>
      <c r="J27" s="13"/>
      <c r="K27" s="13"/>
      <c r="L27" s="13"/>
      <c r="M27" s="13"/>
    </row>
    <row r="28" spans="1:13" x14ac:dyDescent="0.25">
      <c r="A28" s="26" t="s">
        <v>150</v>
      </c>
      <c r="B28" s="28">
        <f>B26-B27</f>
        <v>70.167433780178555</v>
      </c>
      <c r="C28" s="26" t="s">
        <v>151</v>
      </c>
      <c r="D28" s="28">
        <f>D26-D27</f>
        <v>81.980375583840612</v>
      </c>
      <c r="E28" s="13"/>
      <c r="F28" s="25"/>
      <c r="G28" s="13"/>
      <c r="H28" s="13"/>
      <c r="I28" s="13"/>
      <c r="J28" s="13"/>
      <c r="K28" s="13"/>
      <c r="L28" s="13"/>
      <c r="M28" s="13"/>
    </row>
    <row r="29" spans="1:13" x14ac:dyDescent="0.25">
      <c r="A29" s="26" t="s">
        <v>152</v>
      </c>
      <c r="B29" s="28">
        <f>SQRT(B28^2 + D28^2)</f>
        <v>107.90852952460854</v>
      </c>
      <c r="C29" s="13"/>
      <c r="D29" s="13"/>
      <c r="E29" s="13"/>
      <c r="F29" s="25"/>
      <c r="G29" s="13"/>
      <c r="H29" s="13"/>
      <c r="I29" s="13"/>
      <c r="J29" s="13"/>
      <c r="K29" s="13"/>
      <c r="L29" s="13"/>
      <c r="M29" s="13"/>
    </row>
    <row r="30" spans="1:13" x14ac:dyDescent="0.25">
      <c r="A30" s="26" t="s">
        <v>153</v>
      </c>
      <c r="B30" s="29">
        <f>1/(SUM(F8:F14))</f>
        <v>1.4498216719343521E-3</v>
      </c>
      <c r="C30" s="13"/>
      <c r="D30" s="13"/>
      <c r="E30" s="13"/>
      <c r="F30" s="25"/>
      <c r="G30" s="13"/>
      <c r="H30" s="13"/>
      <c r="I30" s="13"/>
      <c r="J30" s="13"/>
      <c r="K30" s="13"/>
      <c r="L30" s="13"/>
      <c r="M30" s="13"/>
    </row>
    <row r="31" spans="1:13" x14ac:dyDescent="0.25">
      <c r="A31" s="13"/>
      <c r="B31" s="27"/>
      <c r="C31" s="13"/>
      <c r="D31" s="13"/>
      <c r="E31" s="13"/>
      <c r="F31" s="25"/>
      <c r="G31" s="13"/>
      <c r="H31" s="13"/>
      <c r="I31" s="13"/>
      <c r="J31" s="13"/>
      <c r="K31" s="13"/>
      <c r="L31" s="13"/>
      <c r="M31" s="13"/>
    </row>
    <row r="32" spans="1:13" x14ac:dyDescent="0.25">
      <c r="A32" s="13"/>
      <c r="B32" s="27"/>
      <c r="C32" s="13"/>
      <c r="D32" s="13"/>
      <c r="E32" s="13"/>
      <c r="F32" s="25"/>
      <c r="G32" s="13"/>
      <c r="H32" s="13"/>
      <c r="I32" s="13"/>
      <c r="J32" s="13"/>
      <c r="K32" s="13"/>
      <c r="L32" s="13"/>
      <c r="M32" s="13"/>
    </row>
    <row r="33" spans="1:13" x14ac:dyDescent="0.25">
      <c r="A33" s="13"/>
      <c r="B33" s="27"/>
      <c r="C33" s="13"/>
      <c r="D33" s="13"/>
      <c r="E33" s="13"/>
      <c r="F33" s="25"/>
      <c r="G33" s="13"/>
      <c r="H33" s="13"/>
      <c r="I33" s="13"/>
      <c r="J33" s="13"/>
      <c r="K33" s="13"/>
      <c r="L33" s="13"/>
      <c r="M33" s="13"/>
    </row>
    <row r="34" spans="1:13" x14ac:dyDescent="0.25">
      <c r="A34" s="8"/>
      <c r="B34" s="10"/>
      <c r="C34" s="8"/>
      <c r="D34" s="8"/>
      <c r="E34" s="8"/>
      <c r="F34" s="9"/>
      <c r="G34" s="8"/>
      <c r="H34" s="8"/>
      <c r="I34" s="8"/>
      <c r="J34" s="8"/>
      <c r="K34" s="8"/>
      <c r="L34" s="8"/>
      <c r="M34" s="8"/>
    </row>
    <row r="35" spans="1:13" x14ac:dyDescent="0.25">
      <c r="A35" s="8"/>
      <c r="B35" s="10"/>
      <c r="C35" s="8"/>
      <c r="D35" s="8"/>
      <c r="E35" s="8"/>
      <c r="F35" s="9"/>
      <c r="G35" s="8"/>
      <c r="H35" s="8"/>
      <c r="I35" s="8"/>
      <c r="J35" s="8"/>
      <c r="K35" s="8"/>
      <c r="L35" s="8"/>
      <c r="M35" s="8"/>
    </row>
    <row r="36" spans="1:13" x14ac:dyDescent="0.25">
      <c r="A36" s="8"/>
      <c r="B36" s="10"/>
      <c r="C36" s="8" cm="1">
        <f t="array" ref="C36">DMStoNum(C7)</f>
        <v>8.3333333333333329E-2</v>
      </c>
      <c r="D36" s="8"/>
      <c r="E36" s="8"/>
      <c r="F36" s="9"/>
      <c r="G36" s="8"/>
      <c r="H36" s="8"/>
      <c r="I36" s="8"/>
      <c r="J36" s="8"/>
      <c r="K36" s="8"/>
      <c r="L36" s="8"/>
      <c r="M36" s="8"/>
    </row>
    <row r="37" spans="1:13" x14ac:dyDescent="0.25">
      <c r="A37" s="8"/>
      <c r="B37" s="10"/>
      <c r="C37" s="8">
        <f t="array" ref="C37">DMStoNum(C9)</f>
        <v>8.3333333333333329E-2</v>
      </c>
      <c r="D37" s="8"/>
      <c r="E37" s="8"/>
      <c r="F37" s="9"/>
      <c r="G37" s="8"/>
      <c r="H37" s="8"/>
      <c r="I37" s="8"/>
      <c r="J37" s="8"/>
      <c r="K37" s="8"/>
      <c r="L37" s="8"/>
      <c r="M37" s="8"/>
    </row>
    <row r="38" spans="1:13" x14ac:dyDescent="0.25">
      <c r="A38" s="8"/>
      <c r="B38" s="10"/>
      <c r="C38" s="8">
        <f t="array" ref="C38">DMStoNum(C11)</f>
        <v>0</v>
      </c>
      <c r="D38" s="8"/>
      <c r="E38" s="8"/>
      <c r="F38" s="9"/>
      <c r="G38" s="8"/>
      <c r="H38" s="8"/>
      <c r="I38" s="8"/>
      <c r="J38" s="8"/>
      <c r="K38" s="8"/>
      <c r="L38" s="8"/>
      <c r="M38" s="8"/>
    </row>
    <row r="39" spans="1:13" x14ac:dyDescent="0.25">
      <c r="A39" s="8"/>
      <c r="B39" s="10"/>
      <c r="C39" s="8">
        <f t="array" ref="C39">DMStoNum(C13)</f>
        <v>8.3333333333333329E-2</v>
      </c>
      <c r="D39" s="8"/>
      <c r="E39" s="8"/>
      <c r="F39" s="9"/>
      <c r="G39" s="8"/>
      <c r="H39" s="8"/>
      <c r="I39" s="8"/>
      <c r="J39" s="8"/>
      <c r="K39" s="8"/>
      <c r="L39" s="8"/>
      <c r="M39" s="8"/>
    </row>
    <row r="40" spans="1:13" x14ac:dyDescent="0.25">
      <c r="A40" s="8"/>
      <c r="B40" s="10"/>
      <c r="C40" s="8">
        <f t="array" ref="C40">DMStoNum(C15)</f>
        <v>0</v>
      </c>
      <c r="D40" s="8"/>
      <c r="E40" s="8"/>
      <c r="F40" s="9"/>
      <c r="G40" s="8"/>
      <c r="H40" s="8"/>
      <c r="I40" s="8"/>
      <c r="J40" s="8"/>
      <c r="K40" s="8"/>
      <c r="L40" s="8"/>
      <c r="M40" s="8"/>
    </row>
    <row r="41" spans="1:13" x14ac:dyDescent="0.25">
      <c r="A41" s="8"/>
      <c r="B41" s="10"/>
      <c r="C41" s="8">
        <f>-SUM(C36:C40)</f>
        <v>-0.25</v>
      </c>
      <c r="D41" s="8"/>
      <c r="E41" s="8"/>
      <c r="F41" s="9"/>
      <c r="G41" s="8"/>
      <c r="H41" s="8"/>
      <c r="I41" s="8"/>
      <c r="J41" s="8"/>
      <c r="K41" s="8"/>
      <c r="L41" s="8"/>
      <c r="M41" s="8"/>
    </row>
  </sheetData>
  <mergeCells count="11">
    <mergeCell ref="G1:J1"/>
    <mergeCell ref="K1:L2"/>
    <mergeCell ref="M1:M3"/>
    <mergeCell ref="G2:H2"/>
    <mergeCell ref="I2:J2"/>
    <mergeCell ref="F1:F3"/>
    <mergeCell ref="A1:A3"/>
    <mergeCell ref="B1:B3"/>
    <mergeCell ref="C1:C3"/>
    <mergeCell ref="D1:D3"/>
    <mergeCell ref="E1:E3"/>
  </mergeCells>
  <conditionalFormatting sqref="C41">
    <cfRule type="cellIs" dxfId="8" priority="6" operator="equal">
      <formula>$B$25</formula>
    </cfRule>
  </conditionalFormatting>
  <conditionalFormatting sqref="B30">
    <cfRule type="cellIs" dxfId="7" priority="5" operator="lessThan">
      <formula>36526</formula>
    </cfRule>
  </conditionalFormatting>
  <conditionalFormatting sqref="K15">
    <cfRule type="cellIs" dxfId="6" priority="4" operator="notEqual">
      <formula>K13+I14</formula>
    </cfRule>
    <cfRule type="cellIs" dxfId="5" priority="1" operator="equal">
      <formula>$K$13+$I$14</formula>
    </cfRule>
  </conditionalFormatting>
  <conditionalFormatting sqref="L15">
    <cfRule type="cellIs" dxfId="4" priority="3" operator="notEqual">
      <formula>L13+J14</formula>
    </cfRule>
    <cfRule type="cellIs" dxfId="3" priority="2" operator="equal">
      <formula>$L$13+$J$14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50AC35-1F89-4F6B-92D1-1AE3CE3D780A}">
  <sheetPr codeName="Sheet3"/>
  <dimension ref="A1:L31"/>
  <sheetViews>
    <sheetView workbookViewId="0">
      <selection activeCell="N15" sqref="N15"/>
    </sheetView>
  </sheetViews>
  <sheetFormatPr defaultRowHeight="15" x14ac:dyDescent="0.25"/>
  <sheetData>
    <row r="1" spans="1:12" x14ac:dyDescent="0.25">
      <c r="A1" s="15" t="s">
        <v>0</v>
      </c>
      <c r="B1" s="15" t="s">
        <v>154</v>
      </c>
      <c r="C1" s="15" t="s">
        <v>155</v>
      </c>
      <c r="D1" s="15" t="s">
        <v>156</v>
      </c>
      <c r="E1" s="15" t="s">
        <v>157</v>
      </c>
      <c r="F1" s="15" t="s">
        <v>158</v>
      </c>
      <c r="G1" s="15" t="s">
        <v>159</v>
      </c>
      <c r="H1" s="15" t="s">
        <v>160</v>
      </c>
      <c r="I1" s="15" t="s">
        <v>161</v>
      </c>
      <c r="J1" s="15" t="s">
        <v>162</v>
      </c>
      <c r="K1" s="15" t="s">
        <v>0</v>
      </c>
      <c r="L1" s="17"/>
    </row>
    <row r="2" spans="1:12" x14ac:dyDescent="0.25">
      <c r="A2" s="15">
        <v>1</v>
      </c>
      <c r="B2" s="15">
        <v>2</v>
      </c>
      <c r="C2" s="15">
        <v>3</v>
      </c>
      <c r="D2" s="15">
        <v>4</v>
      </c>
      <c r="E2" s="15">
        <v>5</v>
      </c>
      <c r="F2" s="15">
        <v>6</v>
      </c>
      <c r="G2" s="15">
        <v>7</v>
      </c>
      <c r="H2" s="15">
        <v>8</v>
      </c>
      <c r="I2" s="15">
        <v>9</v>
      </c>
      <c r="J2" s="15">
        <v>10</v>
      </c>
      <c r="K2" s="15">
        <v>11</v>
      </c>
      <c r="L2" s="17"/>
    </row>
    <row r="3" spans="1:12" x14ac:dyDescent="0.25">
      <c r="A3" s="15" t="s">
        <v>112</v>
      </c>
      <c r="B3" s="17"/>
      <c r="C3" s="17"/>
      <c r="D3" s="17"/>
      <c r="E3" s="17"/>
      <c r="F3" s="17"/>
      <c r="G3" s="17"/>
      <c r="H3" s="17"/>
      <c r="I3" s="17"/>
      <c r="J3" s="30">
        <f>Варианты!D3</f>
        <v>132.24</v>
      </c>
      <c r="K3" s="15" t="s">
        <v>112</v>
      </c>
      <c r="L3" s="17"/>
    </row>
    <row r="4" spans="1:12" x14ac:dyDescent="0.25">
      <c r="A4" s="15"/>
      <c r="B4" s="23">
        <f>'Таблица 5'!B3</f>
        <v>165.065</v>
      </c>
      <c r="C4" s="15" t="s">
        <v>163</v>
      </c>
      <c r="D4" s="15" t="s">
        <v>164</v>
      </c>
      <c r="E4" s="15">
        <v>4.3899999999999997</v>
      </c>
      <c r="F4" s="15">
        <v>-4.3499999999999996</v>
      </c>
      <c r="G4" s="15">
        <v>4.37</v>
      </c>
      <c r="H4" s="23">
        <f>-($B$13/SUM('Таблица 7'!$F$8:$F$14)*'Таблица 7'!F8)</f>
        <v>-2.1531156667731321E-2</v>
      </c>
      <c r="I4" s="23">
        <f>G4+H4</f>
        <v>4.3484688433322685</v>
      </c>
      <c r="J4" s="17"/>
      <c r="K4" s="15"/>
      <c r="L4" s="17"/>
    </row>
    <row r="5" spans="1:12" x14ac:dyDescent="0.25">
      <c r="A5" s="15">
        <v>111</v>
      </c>
      <c r="B5" s="15"/>
      <c r="C5" s="15"/>
      <c r="D5" s="15"/>
      <c r="E5" s="15"/>
      <c r="F5" s="15"/>
      <c r="G5" s="15"/>
      <c r="H5" s="23"/>
      <c r="I5" s="23"/>
      <c r="J5" s="17">
        <f>J3+I4</f>
        <v>136.58846884333227</v>
      </c>
      <c r="K5" s="15">
        <v>111</v>
      </c>
      <c r="L5" s="17"/>
    </row>
    <row r="6" spans="1:12" x14ac:dyDescent="0.25">
      <c r="A6" s="15"/>
      <c r="B6" s="23">
        <f>'Таблица 5'!B4</f>
        <v>128.61500000000001</v>
      </c>
      <c r="C6" s="15" t="s">
        <v>165</v>
      </c>
      <c r="D6" s="15" t="s">
        <v>166</v>
      </c>
      <c r="E6" s="15">
        <v>-3.89</v>
      </c>
      <c r="F6" s="15">
        <v>3.91</v>
      </c>
      <c r="G6" s="15">
        <v>-3.9</v>
      </c>
      <c r="H6" s="23">
        <f>-($B$13/SUM('Таблица 7'!$F$8:$F$14)*'Таблица 7'!F10)</f>
        <v>-1.6775016672950359E-2</v>
      </c>
      <c r="I6" s="23">
        <f>G6+H6</f>
        <v>-3.9167750166729505</v>
      </c>
      <c r="J6" s="17"/>
      <c r="K6" s="15"/>
      <c r="L6" s="17"/>
    </row>
    <row r="7" spans="1:12" x14ac:dyDescent="0.25">
      <c r="A7" s="15">
        <v>112</v>
      </c>
      <c r="B7" s="15"/>
      <c r="C7" s="15"/>
      <c r="D7" s="15"/>
      <c r="E7" s="15"/>
      <c r="F7" s="15"/>
      <c r="G7" s="15"/>
      <c r="H7" s="23"/>
      <c r="I7" s="23"/>
      <c r="J7" s="17">
        <f>J5+I6</f>
        <v>132.67169382665932</v>
      </c>
      <c r="K7" s="15">
        <v>112</v>
      </c>
      <c r="L7" s="17"/>
    </row>
    <row r="8" spans="1:12" x14ac:dyDescent="0.25">
      <c r="A8" s="15"/>
      <c r="B8" s="23">
        <f>'Таблица 5'!B5</f>
        <v>175.79</v>
      </c>
      <c r="C8" s="15" t="s">
        <v>167</v>
      </c>
      <c r="D8" s="15" t="s">
        <v>168</v>
      </c>
      <c r="E8" s="15">
        <v>0.66</v>
      </c>
      <c r="F8" s="15">
        <v>-0.61</v>
      </c>
      <c r="G8" s="15">
        <v>0.64</v>
      </c>
      <c r="H8" s="23">
        <f>-($B$13/SUM('Таблица 7'!$F$8:$F$14)*'Таблица 7'!F12)</f>
        <v>-2.2937773653842124E-2</v>
      </c>
      <c r="I8" s="23">
        <f>G8+H8</f>
        <v>0.61706222634615793</v>
      </c>
      <c r="J8" s="17"/>
      <c r="K8" s="15"/>
      <c r="L8" s="17"/>
    </row>
    <row r="9" spans="1:12" x14ac:dyDescent="0.25">
      <c r="A9" s="15">
        <v>113</v>
      </c>
      <c r="B9" s="15"/>
      <c r="C9" s="15"/>
      <c r="D9" s="15"/>
      <c r="E9" s="15"/>
      <c r="F9" s="15"/>
      <c r="G9" s="15"/>
      <c r="H9" s="23"/>
      <c r="I9" s="23"/>
      <c r="J9" s="17">
        <f>J7+I8</f>
        <v>133.28875605300547</v>
      </c>
      <c r="K9" s="15">
        <v>113</v>
      </c>
      <c r="L9" s="17"/>
    </row>
    <row r="10" spans="1:12" x14ac:dyDescent="0.25">
      <c r="A10" s="15"/>
      <c r="B10" s="23">
        <f>'Таблица 5'!B6</f>
        <v>220.38</v>
      </c>
      <c r="C10" s="15" t="s">
        <v>169</v>
      </c>
      <c r="D10" s="15" t="s">
        <v>170</v>
      </c>
      <c r="E10" s="15">
        <v>-1.63</v>
      </c>
      <c r="F10" s="15">
        <v>1.7</v>
      </c>
      <c r="G10" s="15">
        <v>-1.67</v>
      </c>
      <c r="H10" s="23">
        <f>-($B$13/SUM('Таблица 7'!$F$8:$F$14)*'Таблица 7'!F14)</f>
        <v>-2.8756053005482268E-2</v>
      </c>
      <c r="I10" s="23">
        <f>G10+H10</f>
        <v>-1.6987560530054822</v>
      </c>
      <c r="J10" s="17"/>
      <c r="K10" s="15"/>
      <c r="L10" s="17"/>
    </row>
    <row r="11" spans="1:12" x14ac:dyDescent="0.25">
      <c r="A11" s="15" t="s">
        <v>113</v>
      </c>
      <c r="B11" s="17"/>
      <c r="C11" s="17"/>
      <c r="D11" s="17"/>
      <c r="E11" s="17"/>
      <c r="F11" s="17"/>
      <c r="G11" s="17"/>
      <c r="H11" s="17"/>
      <c r="I11" s="17"/>
      <c r="J11" s="30">
        <f>Варианты!G3</f>
        <v>131.59</v>
      </c>
      <c r="K11" s="15" t="s">
        <v>113</v>
      </c>
      <c r="L11" s="17"/>
    </row>
    <row r="12" spans="1:12" x14ac:dyDescent="0.25">
      <c r="A12" s="17"/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</row>
    <row r="13" spans="1:12" x14ac:dyDescent="0.25">
      <c r="A13" s="17" t="s">
        <v>171</v>
      </c>
      <c r="B13" s="17">
        <f>SUM(G4,G6,G8,G10)-(J11-J3)</f>
        <v>9.0000000000006075E-2</v>
      </c>
      <c r="C13" s="17"/>
      <c r="D13" s="17"/>
      <c r="E13" s="17"/>
      <c r="F13" s="17"/>
      <c r="G13" s="17"/>
      <c r="H13" s="17"/>
      <c r="I13" s="17"/>
      <c r="J13" s="17"/>
      <c r="K13" s="17"/>
      <c r="L13" s="17"/>
    </row>
    <row r="14" spans="1:12" x14ac:dyDescent="0.25">
      <c r="A14" s="17" t="s">
        <v>172</v>
      </c>
      <c r="B14" s="17">
        <f>-B13</f>
        <v>-9.0000000000006075E-2</v>
      </c>
      <c r="C14" s="17"/>
      <c r="D14" s="17"/>
      <c r="E14" s="17"/>
      <c r="F14" s="17"/>
      <c r="G14" s="17"/>
      <c r="H14" s="17"/>
      <c r="I14" s="17"/>
      <c r="J14" s="17"/>
      <c r="K14" s="17"/>
      <c r="L14" s="17"/>
    </row>
    <row r="15" spans="1:12" x14ac:dyDescent="0.25">
      <c r="A15" s="17" t="s">
        <v>173</v>
      </c>
      <c r="B15" s="17">
        <f>(0.04*SUM(B4,B6,B8,B10))/SQRT(4)/100</f>
        <v>0.13797000000000001</v>
      </c>
      <c r="C15" s="17"/>
      <c r="D15" s="17"/>
      <c r="E15" s="17"/>
      <c r="F15" s="17"/>
      <c r="G15" s="17"/>
      <c r="H15" s="17"/>
      <c r="I15" s="17"/>
      <c r="J15" s="17"/>
      <c r="K15" s="17"/>
      <c r="L15" s="17"/>
    </row>
    <row r="16" spans="1:12" x14ac:dyDescent="0.25">
      <c r="A16" s="17"/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</row>
    <row r="17" spans="1:12" x14ac:dyDescent="0.25">
      <c r="A17" s="17"/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</row>
    <row r="18" spans="1:12" x14ac:dyDescent="0.25">
      <c r="A18" s="17"/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</row>
    <row r="19" spans="1:12" x14ac:dyDescent="0.25">
      <c r="A19" s="17"/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</row>
    <row r="20" spans="1:12" x14ac:dyDescent="0.25">
      <c r="A20" s="17"/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7"/>
    </row>
    <row r="21" spans="1:12" x14ac:dyDescent="0.25">
      <c r="A21" s="17"/>
      <c r="B21" s="17"/>
      <c r="C21" s="17"/>
      <c r="D21" s="17"/>
      <c r="E21" s="17"/>
      <c r="F21" s="17"/>
      <c r="G21" s="17"/>
      <c r="H21" s="17"/>
      <c r="I21" s="17"/>
      <c r="J21" s="17"/>
      <c r="K21" s="17"/>
      <c r="L21" s="17"/>
    </row>
    <row r="22" spans="1:12" x14ac:dyDescent="0.25">
      <c r="A22" s="17"/>
      <c r="B22" s="17"/>
      <c r="C22" s="17"/>
      <c r="D22" s="17"/>
      <c r="E22" s="17"/>
      <c r="F22" s="17"/>
      <c r="G22" s="17"/>
      <c r="H22" s="17"/>
      <c r="I22" s="17"/>
      <c r="J22" s="17"/>
      <c r="K22" s="17"/>
      <c r="L22" s="17"/>
    </row>
    <row r="23" spans="1:12" x14ac:dyDescent="0.25">
      <c r="A23" s="17"/>
      <c r="B23" s="17"/>
      <c r="C23" s="17"/>
      <c r="D23" s="17"/>
      <c r="E23" s="17"/>
      <c r="F23" s="17"/>
      <c r="G23" s="17"/>
      <c r="H23" s="17"/>
      <c r="I23" s="17"/>
      <c r="J23" s="17"/>
      <c r="K23" s="17"/>
      <c r="L23" s="17"/>
    </row>
    <row r="24" spans="1:12" x14ac:dyDescent="0.25">
      <c r="A24" s="17"/>
      <c r="B24" s="17"/>
      <c r="C24" s="17"/>
      <c r="D24" s="17"/>
      <c r="E24" s="17"/>
      <c r="F24" s="17"/>
      <c r="G24" s="17"/>
      <c r="H24" s="17"/>
      <c r="I24" s="17"/>
      <c r="J24" s="17"/>
      <c r="K24" s="17"/>
      <c r="L24" s="17"/>
    </row>
    <row r="25" spans="1:12" x14ac:dyDescent="0.25">
      <c r="A25" s="17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</row>
    <row r="26" spans="1:12" x14ac:dyDescent="0.25">
      <c r="A26" s="17"/>
      <c r="B26" s="17"/>
      <c r="C26" s="17"/>
      <c r="D26" s="17"/>
      <c r="E26" s="17"/>
      <c r="F26" s="17"/>
      <c r="G26" s="17"/>
      <c r="H26" s="17"/>
      <c r="I26" s="17"/>
      <c r="J26" s="17"/>
      <c r="K26" s="17"/>
      <c r="L26" s="17"/>
    </row>
    <row r="27" spans="1:12" x14ac:dyDescent="0.25">
      <c r="A27" s="17"/>
      <c r="B27" s="17"/>
      <c r="C27" s="17"/>
      <c r="D27" s="17"/>
      <c r="E27" s="17"/>
      <c r="F27" s="17"/>
      <c r="G27" s="17"/>
      <c r="H27" s="17"/>
      <c r="I27" s="17"/>
      <c r="J27" s="17"/>
      <c r="K27" s="17"/>
      <c r="L27" s="17"/>
    </row>
    <row r="28" spans="1:12" x14ac:dyDescent="0.25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7"/>
    </row>
    <row r="29" spans="1:12" x14ac:dyDescent="0.25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  <c r="L29" s="17"/>
    </row>
    <row r="30" spans="1:12" x14ac:dyDescent="0.25">
      <c r="A30" s="17"/>
      <c r="B30" s="17"/>
      <c r="C30" s="17"/>
      <c r="D30" s="17"/>
      <c r="E30" s="17"/>
      <c r="F30" s="17"/>
      <c r="G30" s="17"/>
      <c r="H30" s="17"/>
      <c r="I30" s="17"/>
      <c r="J30" s="17"/>
      <c r="K30" s="17"/>
      <c r="L30" s="17"/>
    </row>
    <row r="31" spans="1:12" x14ac:dyDescent="0.25">
      <c r="A31" s="17"/>
      <c r="B31" s="17"/>
      <c r="C31" s="17"/>
      <c r="D31" s="17"/>
      <c r="E31" s="17"/>
      <c r="F31" s="17"/>
      <c r="G31" s="17"/>
      <c r="H31" s="17"/>
      <c r="I31" s="17"/>
      <c r="J31" s="17"/>
      <c r="K31" s="17"/>
      <c r="L31" s="17"/>
    </row>
  </sheetData>
  <conditionalFormatting sqref="J11">
    <cfRule type="cellIs" dxfId="2" priority="1" operator="notEqual">
      <formula>$J$9+$I$10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C84F9D-235A-41B6-9F2D-58EBFE03FB83}">
  <sheetPr codeName="Sheet4"/>
  <dimension ref="A1:L41"/>
  <sheetViews>
    <sheetView workbookViewId="0">
      <selection activeCell="N16" sqref="N16"/>
    </sheetView>
  </sheetViews>
  <sheetFormatPr defaultRowHeight="15" x14ac:dyDescent="0.25"/>
  <cols>
    <col min="4" max="4" width="10.7109375" bestFit="1" customWidth="1"/>
  </cols>
  <sheetData>
    <row r="1" spans="1:12" ht="60" x14ac:dyDescent="0.25">
      <c r="A1" s="13" t="s">
        <v>174</v>
      </c>
      <c r="B1" s="13" t="s">
        <v>175</v>
      </c>
      <c r="C1" s="13" t="s">
        <v>176</v>
      </c>
      <c r="D1" s="13" t="s">
        <v>177</v>
      </c>
      <c r="E1" s="13" t="s">
        <v>178</v>
      </c>
      <c r="F1" s="13" t="s">
        <v>179</v>
      </c>
      <c r="G1" s="13" t="s">
        <v>180</v>
      </c>
      <c r="H1" s="13" t="s">
        <v>181</v>
      </c>
      <c r="I1" s="13" t="s">
        <v>182</v>
      </c>
      <c r="J1" s="13" t="s">
        <v>183</v>
      </c>
      <c r="K1" s="13" t="s">
        <v>184</v>
      </c>
      <c r="L1" s="14"/>
    </row>
    <row r="2" spans="1:12" x14ac:dyDescent="0.25">
      <c r="A2" s="15">
        <v>1</v>
      </c>
      <c r="B2" s="15">
        <v>2</v>
      </c>
      <c r="C2" s="15">
        <v>3</v>
      </c>
      <c r="D2" s="15">
        <v>4</v>
      </c>
      <c r="E2" s="15">
        <v>5</v>
      </c>
      <c r="F2" s="15">
        <v>6</v>
      </c>
      <c r="G2" s="15">
        <v>7</v>
      </c>
      <c r="H2" s="15">
        <v>8</v>
      </c>
      <c r="I2" s="15">
        <v>9</v>
      </c>
      <c r="J2" s="15">
        <v>10</v>
      </c>
      <c r="K2" s="15">
        <v>11</v>
      </c>
      <c r="L2" s="16"/>
    </row>
    <row r="3" spans="1:12" x14ac:dyDescent="0.25">
      <c r="A3" s="36" t="str">
        <f>"Станция ПЗ 41  М0=0°01' i=1,43 Hст=" &amp; 'Таблица 9'!J3 &amp; "м"</f>
        <v>Станция ПЗ 41  М0=0°01' i=1,43 Hст=132.24м</v>
      </c>
      <c r="B3" s="37"/>
      <c r="C3" s="37"/>
      <c r="D3" s="37"/>
      <c r="E3" s="37"/>
      <c r="F3" s="37"/>
      <c r="G3" s="37"/>
      <c r="H3" s="37"/>
      <c r="I3" s="37"/>
      <c r="J3" s="37"/>
      <c r="K3" s="37"/>
      <c r="L3" s="16"/>
    </row>
    <row r="4" spans="1:12" x14ac:dyDescent="0.25">
      <c r="A4" s="36" t="s">
        <v>113</v>
      </c>
      <c r="B4" s="18"/>
      <c r="C4" s="18"/>
      <c r="D4" s="18"/>
      <c r="E4" s="18"/>
      <c r="F4" s="18"/>
      <c r="G4" s="18"/>
      <c r="H4" s="18"/>
      <c r="I4" s="18"/>
      <c r="J4" s="18"/>
      <c r="K4" s="18"/>
      <c r="L4" s="36" t="s">
        <v>113</v>
      </c>
    </row>
    <row r="5" spans="1:12" x14ac:dyDescent="0.25">
      <c r="A5" s="37"/>
      <c r="B5" s="18"/>
      <c r="C5" s="18"/>
      <c r="D5" s="18"/>
      <c r="E5" s="18"/>
      <c r="F5" s="18"/>
      <c r="G5" s="18"/>
      <c r="H5" s="18"/>
      <c r="I5" s="18"/>
      <c r="J5" s="18"/>
      <c r="K5" s="18"/>
      <c r="L5" s="37"/>
    </row>
    <row r="6" spans="1:12" x14ac:dyDescent="0.25">
      <c r="A6" s="16">
        <v>1</v>
      </c>
      <c r="B6" s="18"/>
      <c r="C6" s="18">
        <v>88</v>
      </c>
      <c r="D6" s="19" t="s">
        <v>185</v>
      </c>
      <c r="E6" s="18"/>
      <c r="F6" s="18"/>
      <c r="G6" s="18"/>
      <c r="H6" s="18"/>
      <c r="I6" s="18"/>
      <c r="J6" s="18">
        <v>-2.69</v>
      </c>
      <c r="K6" s="18">
        <f>J6+'Таблица 9'!$J$3</f>
        <v>129.55000000000001</v>
      </c>
      <c r="L6" s="16">
        <v>1</v>
      </c>
    </row>
    <row r="7" spans="1:12" x14ac:dyDescent="0.25">
      <c r="A7" s="16">
        <v>2</v>
      </c>
      <c r="B7" s="18"/>
      <c r="C7" s="18">
        <v>111</v>
      </c>
      <c r="D7" s="19" t="s">
        <v>186</v>
      </c>
      <c r="E7" s="18"/>
      <c r="F7" s="18"/>
      <c r="G7" s="18"/>
      <c r="H7" s="18"/>
      <c r="I7" s="18"/>
      <c r="J7" s="18">
        <v>-3.7</v>
      </c>
      <c r="K7" s="18">
        <f>J7+'Таблица 9'!$J$3</f>
        <v>128.54000000000002</v>
      </c>
      <c r="L7" s="16">
        <v>2</v>
      </c>
    </row>
    <row r="8" spans="1:12" x14ac:dyDescent="0.25">
      <c r="A8" s="16">
        <v>3</v>
      </c>
      <c r="B8" s="18"/>
      <c r="C8" s="18">
        <v>155</v>
      </c>
      <c r="D8" s="19" t="s">
        <v>187</v>
      </c>
      <c r="E8" s="18"/>
      <c r="F8" s="18"/>
      <c r="G8" s="18"/>
      <c r="H8" s="18"/>
      <c r="I8" s="18"/>
      <c r="J8" s="18">
        <v>-3.29</v>
      </c>
      <c r="K8" s="18">
        <f>J8+'Таблица 9'!$J$3</f>
        <v>128.95000000000002</v>
      </c>
      <c r="L8" s="16">
        <v>3</v>
      </c>
    </row>
    <row r="9" spans="1:12" x14ac:dyDescent="0.25">
      <c r="A9" s="16">
        <v>4</v>
      </c>
      <c r="B9" s="18"/>
      <c r="C9" s="18">
        <v>132</v>
      </c>
      <c r="D9" s="19" t="s">
        <v>188</v>
      </c>
      <c r="E9" s="18"/>
      <c r="F9" s="18"/>
      <c r="G9" s="18"/>
      <c r="H9" s="18"/>
      <c r="I9" s="18"/>
      <c r="J9" s="18">
        <v>-3.33</v>
      </c>
      <c r="K9" s="18">
        <f>J9+'Таблица 9'!$J$3</f>
        <v>128.91</v>
      </c>
      <c r="L9" s="16">
        <v>4</v>
      </c>
    </row>
    <row r="10" spans="1:12" x14ac:dyDescent="0.25">
      <c r="A10" s="16">
        <v>5</v>
      </c>
      <c r="B10" s="18"/>
      <c r="C10" s="18">
        <v>141</v>
      </c>
      <c r="D10" s="19" t="s">
        <v>189</v>
      </c>
      <c r="E10" s="18"/>
      <c r="F10" s="18"/>
      <c r="G10" s="18"/>
      <c r="H10" s="18"/>
      <c r="I10" s="18"/>
      <c r="J10" s="18">
        <v>0.08</v>
      </c>
      <c r="K10" s="18">
        <f>J10+'Таблица 9'!$J$3</f>
        <v>132.32000000000002</v>
      </c>
      <c r="L10" s="16">
        <v>5</v>
      </c>
    </row>
    <row r="11" spans="1:12" x14ac:dyDescent="0.25">
      <c r="A11" s="36" t="str">
        <f>"Станция 111  М0=      i=      Hст=" &amp; 'Таблица 9'!J5 &amp; "м"</f>
        <v>Станция 111  М0=      i=      Hст=136.588468843332м</v>
      </c>
      <c r="B11" s="37"/>
      <c r="C11" s="37"/>
      <c r="D11" s="37"/>
      <c r="E11" s="37"/>
      <c r="F11" s="37"/>
      <c r="G11" s="37"/>
      <c r="H11" s="37"/>
      <c r="I11" s="37"/>
      <c r="J11" s="37"/>
      <c r="K11" s="37"/>
      <c r="L11" s="16"/>
    </row>
    <row r="12" spans="1:12" x14ac:dyDescent="0.25">
      <c r="A12" s="16">
        <v>6</v>
      </c>
      <c r="B12" s="18"/>
      <c r="C12" s="18">
        <v>94</v>
      </c>
      <c r="D12" s="19" t="s">
        <v>190</v>
      </c>
      <c r="E12" s="18"/>
      <c r="F12" s="18"/>
      <c r="G12" s="18"/>
      <c r="H12" s="18"/>
      <c r="I12" s="18"/>
      <c r="J12" s="18">
        <v>-2.95</v>
      </c>
      <c r="K12" s="20">
        <f>J12+'Таблица 9'!$J$5</f>
        <v>133.63846884333228</v>
      </c>
      <c r="L12" s="16">
        <v>6</v>
      </c>
    </row>
    <row r="13" spans="1:12" x14ac:dyDescent="0.25">
      <c r="A13" s="16">
        <v>7</v>
      </c>
      <c r="B13" s="18"/>
      <c r="C13" s="18">
        <v>131</v>
      </c>
      <c r="D13" s="19" t="s">
        <v>191</v>
      </c>
      <c r="E13" s="18"/>
      <c r="F13" s="18"/>
      <c r="G13" s="18"/>
      <c r="H13" s="18"/>
      <c r="I13" s="18"/>
      <c r="J13" s="18">
        <v>-2.66</v>
      </c>
      <c r="K13" s="20">
        <f>J13+'Таблица 9'!$J$5</f>
        <v>133.92846884333227</v>
      </c>
      <c r="L13" s="16">
        <v>7</v>
      </c>
    </row>
    <row r="14" spans="1:12" x14ac:dyDescent="0.25">
      <c r="A14" s="16">
        <v>8</v>
      </c>
      <c r="B14" s="18"/>
      <c r="C14" s="18">
        <v>128</v>
      </c>
      <c r="D14" s="19" t="s">
        <v>192</v>
      </c>
      <c r="E14" s="18"/>
      <c r="F14" s="18"/>
      <c r="G14" s="18"/>
      <c r="H14" s="18"/>
      <c r="I14" s="18"/>
      <c r="J14" s="18">
        <v>-4.05</v>
      </c>
      <c r="K14" s="20">
        <f>J14+'Таблица 9'!$J$5</f>
        <v>132.53846884333225</v>
      </c>
      <c r="L14" s="16">
        <v>8</v>
      </c>
    </row>
    <row r="15" spans="1:12" x14ac:dyDescent="0.25">
      <c r="A15" s="16">
        <v>9</v>
      </c>
      <c r="B15" s="18"/>
      <c r="C15" s="18">
        <v>124</v>
      </c>
      <c r="D15" s="19" t="s">
        <v>193</v>
      </c>
      <c r="E15" s="18"/>
      <c r="F15" s="18"/>
      <c r="G15" s="18"/>
      <c r="H15" s="18"/>
      <c r="I15" s="18"/>
      <c r="J15" s="18">
        <v>-4.1500000000000004</v>
      </c>
      <c r="K15" s="20">
        <f>J15+'Таблица 9'!$J$5</f>
        <v>132.43846884333226</v>
      </c>
      <c r="L15" s="16">
        <v>9</v>
      </c>
    </row>
    <row r="16" spans="1:12" x14ac:dyDescent="0.25">
      <c r="A16" s="36" t="str">
        <f>"Станция 112  М0=0°01' i=1,43 Hст=" &amp; 'Таблица 9'!J7 &amp; "м"</f>
        <v>Станция 112  М0=0°01' i=1,43 Hст=132.671693826659м</v>
      </c>
      <c r="B16" s="37"/>
      <c r="C16" s="37"/>
      <c r="D16" s="37"/>
      <c r="E16" s="37"/>
      <c r="F16" s="37"/>
      <c r="G16" s="37"/>
      <c r="H16" s="37"/>
      <c r="I16" s="37"/>
      <c r="J16" s="37"/>
      <c r="K16" s="37"/>
      <c r="L16" s="16"/>
    </row>
    <row r="17" spans="1:12" x14ac:dyDescent="0.25">
      <c r="A17" s="16">
        <v>10</v>
      </c>
      <c r="B17" s="18"/>
      <c r="C17" s="18">
        <v>87</v>
      </c>
      <c r="D17" s="19" t="s">
        <v>194</v>
      </c>
      <c r="E17" s="18"/>
      <c r="F17" s="18"/>
      <c r="G17" s="18"/>
      <c r="H17" s="18"/>
      <c r="I17" s="18"/>
      <c r="J17" s="18">
        <v>-0.81</v>
      </c>
      <c r="K17" s="20">
        <f>J17+'Таблица 9'!$J$7</f>
        <v>131.86169382665932</v>
      </c>
      <c r="L17" s="16">
        <v>10</v>
      </c>
    </row>
    <row r="18" spans="1:12" x14ac:dyDescent="0.25">
      <c r="A18" s="16">
        <v>11</v>
      </c>
      <c r="B18" s="18"/>
      <c r="C18" s="18">
        <v>132</v>
      </c>
      <c r="D18" s="19" t="s">
        <v>195</v>
      </c>
      <c r="E18" s="18"/>
      <c r="F18" s="18"/>
      <c r="G18" s="18"/>
      <c r="H18" s="18"/>
      <c r="I18" s="18"/>
      <c r="J18" s="18">
        <v>-1</v>
      </c>
      <c r="K18" s="20">
        <f>J18+'Таблица 9'!$J$7</f>
        <v>131.67169382665932</v>
      </c>
      <c r="L18" s="16">
        <v>11</v>
      </c>
    </row>
    <row r="19" spans="1:12" x14ac:dyDescent="0.25">
      <c r="A19" s="16">
        <v>12</v>
      </c>
      <c r="B19" s="18"/>
      <c r="C19" s="18">
        <v>127</v>
      </c>
      <c r="D19" s="19" t="s">
        <v>196</v>
      </c>
      <c r="E19" s="18"/>
      <c r="F19" s="18"/>
      <c r="G19" s="18"/>
      <c r="H19" s="18"/>
      <c r="I19" s="18"/>
      <c r="J19" s="18">
        <v>-1.99</v>
      </c>
      <c r="K19" s="20">
        <f>J19+'Таблица 9'!$J$7</f>
        <v>130.68169382665931</v>
      </c>
      <c r="L19" s="16">
        <v>12</v>
      </c>
    </row>
    <row r="20" spans="1:12" x14ac:dyDescent="0.25">
      <c r="A20" s="16">
        <v>13</v>
      </c>
      <c r="B20" s="18"/>
      <c r="C20" s="18">
        <v>53</v>
      </c>
      <c r="D20" s="19" t="s">
        <v>197</v>
      </c>
      <c r="E20" s="18"/>
      <c r="F20" s="18"/>
      <c r="G20" s="18"/>
      <c r="H20" s="18"/>
      <c r="I20" s="18"/>
      <c r="J20" s="18">
        <v>-0.49</v>
      </c>
      <c r="K20" s="20">
        <f>J20+'Таблица 9'!$J$7</f>
        <v>132.18169382665931</v>
      </c>
      <c r="L20" s="16">
        <v>13</v>
      </c>
    </row>
    <row r="21" spans="1:12" x14ac:dyDescent="0.25">
      <c r="A21" s="36" t="str">
        <f>"Станция 113  М0=0°00' i=1,47 Hст=" &amp; 'Таблица 9'!J9 &amp; "м"</f>
        <v>Станция 113  М0=0°00' i=1,47 Hст=133.288756053005м</v>
      </c>
      <c r="B21" s="37"/>
      <c r="C21" s="37"/>
      <c r="D21" s="37"/>
      <c r="E21" s="37"/>
      <c r="F21" s="37"/>
      <c r="G21" s="37"/>
      <c r="H21" s="37"/>
      <c r="I21" s="37"/>
      <c r="J21" s="37"/>
      <c r="K21" s="37"/>
      <c r="L21" s="16"/>
    </row>
    <row r="22" spans="1:12" x14ac:dyDescent="0.25">
      <c r="A22" s="16">
        <v>14</v>
      </c>
      <c r="B22" s="18"/>
      <c r="C22" s="18">
        <v>114</v>
      </c>
      <c r="D22" s="19" t="s">
        <v>198</v>
      </c>
      <c r="E22" s="18"/>
      <c r="F22" s="18"/>
      <c r="G22" s="18"/>
      <c r="H22" s="18"/>
      <c r="I22" s="18"/>
      <c r="J22" s="18">
        <v>-1.69</v>
      </c>
      <c r="K22" s="20">
        <f>J22+'Таблица 9'!$J$9</f>
        <v>131.59875605300547</v>
      </c>
      <c r="L22" s="16">
        <v>14</v>
      </c>
    </row>
    <row r="23" spans="1:12" x14ac:dyDescent="0.25">
      <c r="A23" s="16">
        <v>15</v>
      </c>
      <c r="B23" s="18"/>
      <c r="C23" s="18">
        <v>82</v>
      </c>
      <c r="D23" s="19" t="s">
        <v>199</v>
      </c>
      <c r="E23" s="18"/>
      <c r="F23" s="18"/>
      <c r="G23" s="18"/>
      <c r="H23" s="18"/>
      <c r="I23" s="18"/>
      <c r="J23" s="18">
        <v>-1.36</v>
      </c>
      <c r="K23" s="20">
        <f>J23+'Таблица 9'!$J$9</f>
        <v>131.92875605300546</v>
      </c>
      <c r="L23" s="16">
        <v>15</v>
      </c>
    </row>
    <row r="24" spans="1:12" x14ac:dyDescent="0.25">
      <c r="A24" s="16">
        <v>16</v>
      </c>
      <c r="B24" s="18"/>
      <c r="C24" s="18">
        <v>84.5</v>
      </c>
      <c r="D24" s="19" t="s">
        <v>200</v>
      </c>
      <c r="E24" s="18"/>
      <c r="F24" s="18"/>
      <c r="G24" s="18"/>
      <c r="H24" s="18"/>
      <c r="I24" s="18"/>
      <c r="J24" s="18">
        <v>0.49</v>
      </c>
      <c r="K24" s="20">
        <f>J24+'Таблица 9'!$J$9</f>
        <v>133.77875605300548</v>
      </c>
      <c r="L24" s="16">
        <v>16</v>
      </c>
    </row>
    <row r="25" spans="1:12" x14ac:dyDescent="0.25">
      <c r="A25" s="16">
        <v>17</v>
      </c>
      <c r="B25" s="18"/>
      <c r="C25" s="18">
        <v>81.5</v>
      </c>
      <c r="D25" s="19" t="s">
        <v>201</v>
      </c>
      <c r="E25" s="18"/>
      <c r="F25" s="18"/>
      <c r="G25" s="18"/>
      <c r="H25" s="18"/>
      <c r="I25" s="18"/>
      <c r="J25" s="18">
        <v>0.4</v>
      </c>
      <c r="K25" s="20">
        <f>J25+'Таблица 9'!$J$9</f>
        <v>133.68875605300548</v>
      </c>
      <c r="L25" s="16">
        <v>17</v>
      </c>
    </row>
    <row r="26" spans="1:12" x14ac:dyDescent="0.25">
      <c r="A26" s="36" t="str">
        <f>"Станция ПЗ 42 М0=      i=1,44 Hст=" &amp; 'Таблица 9'!J11 &amp; "м"</f>
        <v>Станция ПЗ 42 М0=      i=1,44 Hст=131.59м</v>
      </c>
      <c r="B26" s="37"/>
      <c r="C26" s="37"/>
      <c r="D26" s="37"/>
      <c r="E26" s="37"/>
      <c r="F26" s="37"/>
      <c r="G26" s="37"/>
      <c r="H26" s="37"/>
      <c r="I26" s="37"/>
      <c r="J26" s="37"/>
      <c r="K26" s="37"/>
      <c r="L26" s="16"/>
    </row>
    <row r="27" spans="1:12" x14ac:dyDescent="0.25">
      <c r="A27" s="16">
        <v>18</v>
      </c>
      <c r="B27" s="18"/>
      <c r="C27" s="18">
        <v>54</v>
      </c>
      <c r="D27" s="19" t="s">
        <v>202</v>
      </c>
      <c r="E27" s="18"/>
      <c r="F27" s="18"/>
      <c r="G27" s="18"/>
      <c r="H27" s="18"/>
      <c r="I27" s="18"/>
      <c r="J27" s="18">
        <v>1.7</v>
      </c>
      <c r="K27" s="18">
        <f>J27+'Таблица 9'!$J$11</f>
        <v>133.29</v>
      </c>
      <c r="L27" s="16">
        <v>18</v>
      </c>
    </row>
    <row r="28" spans="1:12" x14ac:dyDescent="0.25">
      <c r="A28" s="16">
        <v>19</v>
      </c>
      <c r="B28" s="18"/>
      <c r="C28" s="18">
        <v>123</v>
      </c>
      <c r="D28" s="19" t="s">
        <v>203</v>
      </c>
      <c r="E28" s="18"/>
      <c r="F28" s="18"/>
      <c r="G28" s="18"/>
      <c r="H28" s="18"/>
      <c r="I28" s="18"/>
      <c r="J28" s="18">
        <v>-3.72</v>
      </c>
      <c r="K28" s="18">
        <f>J28+'Таблица 9'!$J$11</f>
        <v>127.87</v>
      </c>
      <c r="L28" s="16">
        <v>19</v>
      </c>
    </row>
    <row r="29" spans="1:12" x14ac:dyDescent="0.25">
      <c r="A29" s="16">
        <v>20</v>
      </c>
      <c r="B29" s="18"/>
      <c r="C29" s="18">
        <v>90</v>
      </c>
      <c r="D29" s="19" t="s">
        <v>204</v>
      </c>
      <c r="E29" s="18"/>
      <c r="F29" s="18"/>
      <c r="G29" s="18"/>
      <c r="H29" s="18"/>
      <c r="I29" s="18"/>
      <c r="J29" s="18">
        <v>-3.69</v>
      </c>
      <c r="K29" s="18">
        <f>J29+'Таблица 9'!$J$11</f>
        <v>127.9</v>
      </c>
      <c r="L29" s="16">
        <v>20</v>
      </c>
    </row>
    <row r="30" spans="1:12" x14ac:dyDescent="0.25">
      <c r="A30" s="16">
        <v>21</v>
      </c>
      <c r="B30" s="18"/>
      <c r="C30" s="18">
        <v>148</v>
      </c>
      <c r="D30" s="19" t="s">
        <v>205</v>
      </c>
      <c r="E30" s="18"/>
      <c r="F30" s="18"/>
      <c r="G30" s="18"/>
      <c r="H30" s="18"/>
      <c r="I30" s="18"/>
      <c r="J30" s="18">
        <v>-3.4</v>
      </c>
      <c r="K30" s="18">
        <f>J30+'Таблица 9'!$J$11</f>
        <v>128.19</v>
      </c>
      <c r="L30" s="16">
        <v>21</v>
      </c>
    </row>
    <row r="31" spans="1:12" x14ac:dyDescent="0.25">
      <c r="A31" s="16">
        <v>22</v>
      </c>
      <c r="B31" s="18"/>
      <c r="C31" s="18">
        <v>76.5</v>
      </c>
      <c r="D31" s="19" t="s">
        <v>206</v>
      </c>
      <c r="E31" s="18"/>
      <c r="F31" s="18"/>
      <c r="G31" s="18"/>
      <c r="H31" s="18"/>
      <c r="I31" s="18"/>
      <c r="J31" s="18">
        <v>-0.4</v>
      </c>
      <c r="K31" s="18">
        <f>J31+'Таблица 9'!$J$11</f>
        <v>131.19</v>
      </c>
      <c r="L31" s="16">
        <v>22</v>
      </c>
    </row>
    <row r="32" spans="1:12" x14ac:dyDescent="0.25">
      <c r="A32" s="16">
        <v>23</v>
      </c>
      <c r="B32" s="18"/>
      <c r="C32" s="18">
        <v>96</v>
      </c>
      <c r="D32" s="19" t="s">
        <v>207</v>
      </c>
      <c r="E32" s="18"/>
      <c r="F32" s="18"/>
      <c r="G32" s="18"/>
      <c r="H32" s="18"/>
      <c r="I32" s="18"/>
      <c r="J32" s="18">
        <v>1.7</v>
      </c>
      <c r="K32" s="18">
        <f>J32+'Таблица 9'!$J$11</f>
        <v>133.29</v>
      </c>
      <c r="L32" s="16">
        <v>23</v>
      </c>
    </row>
    <row r="33" spans="1:12" x14ac:dyDescent="0.25">
      <c r="A33" s="17"/>
      <c r="B33" s="17"/>
      <c r="C33" s="17"/>
      <c r="D33" s="17"/>
      <c r="E33" s="17"/>
      <c r="F33" s="17"/>
      <c r="G33" s="17"/>
      <c r="H33" s="17"/>
      <c r="I33" s="17"/>
      <c r="J33" s="17"/>
      <c r="K33" s="17"/>
      <c r="L33" s="17"/>
    </row>
    <row r="34" spans="1:12" x14ac:dyDescent="0.25">
      <c r="A34" s="17"/>
      <c r="B34" s="17"/>
      <c r="C34" s="17"/>
      <c r="D34" s="17"/>
      <c r="E34" s="17"/>
      <c r="F34" s="17"/>
      <c r="G34" s="17"/>
      <c r="H34" s="17"/>
      <c r="I34" s="17"/>
      <c r="J34" s="17"/>
      <c r="K34" s="17"/>
      <c r="L34" s="17"/>
    </row>
    <row r="35" spans="1:12" x14ac:dyDescent="0.25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7"/>
      <c r="L35" s="17"/>
    </row>
    <row r="36" spans="1:12" x14ac:dyDescent="0.25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7"/>
      <c r="L36" s="17"/>
    </row>
    <row r="37" spans="1:12" x14ac:dyDescent="0.25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7"/>
      <c r="L37" s="17"/>
    </row>
    <row r="38" spans="1:12" x14ac:dyDescent="0.25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7"/>
      <c r="L38" s="17"/>
    </row>
    <row r="39" spans="1:12" x14ac:dyDescent="0.25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7"/>
      <c r="L39" s="17"/>
    </row>
    <row r="40" spans="1:12" x14ac:dyDescent="0.25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7"/>
      <c r="L40" s="17"/>
    </row>
    <row r="41" spans="1:12" x14ac:dyDescent="0.25">
      <c r="A41" s="17"/>
      <c r="B41" s="17"/>
      <c r="C41" s="17"/>
      <c r="D41" s="17"/>
      <c r="E41" s="17"/>
      <c r="F41" s="17"/>
      <c r="G41" s="17"/>
      <c r="H41" s="17"/>
      <c r="I41" s="17"/>
      <c r="J41" s="17"/>
      <c r="K41" s="17"/>
      <c r="L41" s="17"/>
    </row>
  </sheetData>
  <mergeCells count="7">
    <mergeCell ref="A26:K26"/>
    <mergeCell ref="A3:K3"/>
    <mergeCell ref="A4:A5"/>
    <mergeCell ref="L4:L5"/>
    <mergeCell ref="A11:K11"/>
    <mergeCell ref="A16:K16"/>
    <mergeCell ref="A21:K21"/>
  </mergeCells>
  <pageMargins left="0.7" right="0.7" top="0.75" bottom="0.75" header="0.3" footer="0.3"/>
  <pageSetup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1671F5-371E-4175-8FC6-8F9280666598}">
  <sheetPr codeName="Sheet5"/>
  <dimension ref="A1:H50"/>
  <sheetViews>
    <sheetView workbookViewId="0">
      <selection activeCell="J2" sqref="J2"/>
    </sheetView>
  </sheetViews>
  <sheetFormatPr defaultRowHeight="15" x14ac:dyDescent="0.25"/>
  <cols>
    <col min="4" max="4" width="11.5703125" bestFit="1" customWidth="1"/>
    <col min="5" max="5" width="12" style="21" bestFit="1" customWidth="1"/>
    <col min="7" max="7" width="11.5703125" bestFit="1" customWidth="1"/>
    <col min="8" max="8" width="12.7109375" style="21" bestFit="1" customWidth="1"/>
  </cols>
  <sheetData>
    <row r="1" spans="1:8" x14ac:dyDescent="0.25">
      <c r="A1" s="1" t="s">
        <v>208</v>
      </c>
      <c r="B1" s="1" t="s">
        <v>209</v>
      </c>
      <c r="C1" s="1" t="s">
        <v>210</v>
      </c>
      <c r="D1" s="1" t="s">
        <v>211</v>
      </c>
      <c r="E1" s="1" t="s">
        <v>212</v>
      </c>
      <c r="F1" s="1"/>
      <c r="G1" s="1" t="s">
        <v>211</v>
      </c>
      <c r="H1" s="1" t="s">
        <v>212</v>
      </c>
    </row>
    <row r="2" spans="1:8" x14ac:dyDescent="0.25">
      <c r="A2" s="1">
        <f ca="1">RANDBETWEEN(-360,360)</f>
        <v>-225</v>
      </c>
      <c r="B2" s="1">
        <f ca="1">RANDBETWEEN(0,59.9)</f>
        <v>30</v>
      </c>
      <c r="C2" s="1">
        <f ca="1">RANDBETWEEN(0,59.9)</f>
        <v>46</v>
      </c>
      <c r="D2" s="12" t="str">
        <f ca="1">A2 &amp; "° " &amp; B2 &amp; "' " &amp; C2 &amp; """"</f>
        <v>-225° 30' 46"</v>
      </c>
      <c r="E2" s="11">
        <f ca="1">IF(A2&lt;0,-1,1) * (ABS(A2)+B2/60+C2/60/60)</f>
        <v>-225.51277777777779</v>
      </c>
      <c r="F2" s="4"/>
      <c r="G2" s="12" t="str" cm="1">
        <f t="array" aca="1" ref="G2" ca="1">DMSfromNum(E2)</f>
        <v>-225° 30' 46"</v>
      </c>
      <c r="H2" s="11" cm="1">
        <f t="array" aca="1" ref="H2" ca="1">DMStoNum(G2)</f>
        <v>-225.51277777777779</v>
      </c>
    </row>
    <row r="3" spans="1:8" x14ac:dyDescent="0.25">
      <c r="A3" s="1">
        <f t="shared" ref="A3:A50" ca="1" si="0">RANDBETWEEN(-360,360)</f>
        <v>-238</v>
      </c>
      <c r="B3" s="1">
        <f t="shared" ref="B3:C50" ca="1" si="1">RANDBETWEEN(0,59.9)</f>
        <v>15</v>
      </c>
      <c r="C3" s="1">
        <f t="shared" ca="1" si="1"/>
        <v>33</v>
      </c>
      <c r="D3" s="12" t="str">
        <f t="shared" ref="D3:D50" ca="1" si="2">A3 &amp; "° " &amp; B3 &amp; "' " &amp; C3 &amp; """"</f>
        <v>-238° 15' 33"</v>
      </c>
      <c r="E3" s="11">
        <f t="shared" ref="E3:E50" ca="1" si="3">IF(A3&lt;0,-1,1) * (ABS(A3)+B3/60+C3/60/60)</f>
        <v>-238.25916666666666</v>
      </c>
      <c r="F3" s="4"/>
      <c r="G3" s="12" t="str" cm="1">
        <f t="array" aca="1" ref="G3" ca="1">DMSfromNum(E3)</f>
        <v>-238° 15' 33"</v>
      </c>
      <c r="H3" s="11" cm="1">
        <f t="array" aca="1" ref="H3" ca="1">DMStoNum(G3)</f>
        <v>-238.25916666666666</v>
      </c>
    </row>
    <row r="4" spans="1:8" x14ac:dyDescent="0.25">
      <c r="A4" s="1">
        <f t="shared" ca="1" si="0"/>
        <v>12</v>
      </c>
      <c r="B4" s="1">
        <f t="shared" ca="1" si="1"/>
        <v>13</v>
      </c>
      <c r="C4" s="1">
        <f t="shared" ca="1" si="1"/>
        <v>13</v>
      </c>
      <c r="D4" s="12" t="str">
        <f t="shared" ca="1" si="2"/>
        <v>12° 13' 13"</v>
      </c>
      <c r="E4" s="11">
        <f t="shared" ca="1" si="3"/>
        <v>12.220277777777778</v>
      </c>
      <c r="F4" s="4"/>
      <c r="G4" s="12" t="str" cm="1">
        <f t="array" aca="1" ref="G4" ca="1">DMSfromNum(E4)</f>
        <v>12° 13' 13"</v>
      </c>
      <c r="H4" s="11" cm="1">
        <f t="array" aca="1" ref="H4" ca="1">DMStoNum(G4)</f>
        <v>12.220277777777778</v>
      </c>
    </row>
    <row r="5" spans="1:8" x14ac:dyDescent="0.25">
      <c r="A5" s="1">
        <f t="shared" ca="1" si="0"/>
        <v>-13</v>
      </c>
      <c r="B5" s="1">
        <f t="shared" ca="1" si="1"/>
        <v>49</v>
      </c>
      <c r="C5" s="1">
        <f t="shared" ca="1" si="1"/>
        <v>19</v>
      </c>
      <c r="D5" s="12" t="str">
        <f t="shared" ca="1" si="2"/>
        <v>-13° 49' 19"</v>
      </c>
      <c r="E5" s="11">
        <f t="shared" ca="1" si="3"/>
        <v>-13.821944444444444</v>
      </c>
      <c r="F5" s="4"/>
      <c r="G5" s="12" t="str" cm="1">
        <f t="array" aca="1" ref="G5" ca="1">DMSfromNum(E5)</f>
        <v>-13° 49' 19"</v>
      </c>
      <c r="H5" s="11" cm="1">
        <f t="array" aca="1" ref="H5" ca="1">DMStoNum(G5)</f>
        <v>-13.821944444444444</v>
      </c>
    </row>
    <row r="6" spans="1:8" x14ac:dyDescent="0.25">
      <c r="A6" s="1">
        <f t="shared" ca="1" si="0"/>
        <v>284</v>
      </c>
      <c r="B6" s="1">
        <f t="shared" ca="1" si="1"/>
        <v>4</v>
      </c>
      <c r="C6" s="1">
        <f t="shared" ca="1" si="1"/>
        <v>44</v>
      </c>
      <c r="D6" s="12" t="str">
        <f t="shared" ca="1" si="2"/>
        <v>284° 4' 44"</v>
      </c>
      <c r="E6" s="11">
        <f t="shared" ca="1" si="3"/>
        <v>284.07888888888891</v>
      </c>
      <c r="F6" s="4"/>
      <c r="G6" s="12" t="str" cm="1">
        <f t="array" aca="1" ref="G6" ca="1">DMSfromNum(E6)</f>
        <v>284° 4' 44"</v>
      </c>
      <c r="H6" s="11" cm="1">
        <f t="array" aca="1" ref="H6" ca="1">DMStoNum(G6)</f>
        <v>284.07888888888891</v>
      </c>
    </row>
    <row r="7" spans="1:8" x14ac:dyDescent="0.25">
      <c r="A7" s="1">
        <f t="shared" ca="1" si="0"/>
        <v>-88</v>
      </c>
      <c r="B7" s="1">
        <f t="shared" ca="1" si="1"/>
        <v>59</v>
      </c>
      <c r="C7" s="1">
        <f t="shared" ca="1" si="1"/>
        <v>17</v>
      </c>
      <c r="D7" s="12" t="str">
        <f t="shared" ca="1" si="2"/>
        <v>-88° 59' 17"</v>
      </c>
      <c r="E7" s="11">
        <f t="shared" ca="1" si="3"/>
        <v>-88.988055555555562</v>
      </c>
      <c r="F7" s="4"/>
      <c r="G7" s="12" t="str" cm="1">
        <f t="array" aca="1" ref="G7" ca="1">DMSfromNum(E7)</f>
        <v>-88° 59' 17"</v>
      </c>
      <c r="H7" s="11" cm="1">
        <f t="array" aca="1" ref="H7" ca="1">DMStoNum(G7)</f>
        <v>-88.988055555555562</v>
      </c>
    </row>
    <row r="8" spans="1:8" x14ac:dyDescent="0.25">
      <c r="A8" s="1">
        <f t="shared" ca="1" si="0"/>
        <v>87</v>
      </c>
      <c r="B8" s="1">
        <f t="shared" ca="1" si="1"/>
        <v>46</v>
      </c>
      <c r="C8" s="1">
        <f t="shared" ca="1" si="1"/>
        <v>45</v>
      </c>
      <c r="D8" s="12" t="str">
        <f t="shared" ca="1" si="2"/>
        <v>87° 46' 45"</v>
      </c>
      <c r="E8" s="11">
        <f t="shared" ca="1" si="3"/>
        <v>87.779166666666669</v>
      </c>
      <c r="F8" s="4"/>
      <c r="G8" s="12" t="str" cm="1">
        <f t="array" aca="1" ref="G8" ca="1">DMSfromNum(E8)</f>
        <v>87° 46' 45"</v>
      </c>
      <c r="H8" s="11" cm="1">
        <f t="array" aca="1" ref="H8" ca="1">DMStoNum(G8)</f>
        <v>87.779166666666669</v>
      </c>
    </row>
    <row r="9" spans="1:8" x14ac:dyDescent="0.25">
      <c r="A9" s="1">
        <f t="shared" ca="1" si="0"/>
        <v>222</v>
      </c>
      <c r="B9" s="1">
        <f t="shared" ca="1" si="1"/>
        <v>7</v>
      </c>
      <c r="C9" s="1">
        <f t="shared" ca="1" si="1"/>
        <v>20</v>
      </c>
      <c r="D9" s="12" t="str">
        <f t="shared" ca="1" si="2"/>
        <v>222° 7' 20"</v>
      </c>
      <c r="E9" s="11">
        <f t="shared" ca="1" si="3"/>
        <v>222.12222222222223</v>
      </c>
      <c r="F9" s="4"/>
      <c r="G9" s="12" t="str" cm="1">
        <f t="array" aca="1" ref="G9" ca="1">DMSfromNum(E9)</f>
        <v>222° 7' 20"</v>
      </c>
      <c r="H9" s="11" cm="1">
        <f t="array" aca="1" ref="H9" ca="1">DMStoNum(G9)</f>
        <v>222.12222222222223</v>
      </c>
    </row>
    <row r="10" spans="1:8" x14ac:dyDescent="0.25">
      <c r="A10" s="1">
        <f t="shared" ca="1" si="0"/>
        <v>27</v>
      </c>
      <c r="B10" s="1">
        <f t="shared" ca="1" si="1"/>
        <v>38</v>
      </c>
      <c r="C10" s="1">
        <f t="shared" ca="1" si="1"/>
        <v>28</v>
      </c>
      <c r="D10" s="12" t="str">
        <f t="shared" ca="1" si="2"/>
        <v>27° 38' 28"</v>
      </c>
      <c r="E10" s="11">
        <f t="shared" ca="1" si="3"/>
        <v>27.641111111111112</v>
      </c>
      <c r="F10" s="4"/>
      <c r="G10" s="12" t="str" cm="1">
        <f t="array" aca="1" ref="G10" ca="1">DMSfromNum(E10)</f>
        <v>27° 38' 28"</v>
      </c>
      <c r="H10" s="11" cm="1">
        <f t="array" aca="1" ref="H10" ca="1">DMStoNum(G10)</f>
        <v>27.641111111111112</v>
      </c>
    </row>
    <row r="11" spans="1:8" x14ac:dyDescent="0.25">
      <c r="A11" s="1">
        <f t="shared" ca="1" si="0"/>
        <v>200</v>
      </c>
      <c r="B11" s="1">
        <f t="shared" ca="1" si="1"/>
        <v>41</v>
      </c>
      <c r="C11" s="1">
        <f t="shared" ca="1" si="1"/>
        <v>58</v>
      </c>
      <c r="D11" s="12" t="str">
        <f t="shared" ca="1" si="2"/>
        <v>200° 41' 58"</v>
      </c>
      <c r="E11" s="11">
        <f t="shared" ca="1" si="3"/>
        <v>200.69944444444445</v>
      </c>
      <c r="F11" s="4"/>
      <c r="G11" s="12" t="str" cm="1">
        <f t="array" aca="1" ref="G11" ca="1">DMSfromNum(E11)</f>
        <v>200° 41' 58"</v>
      </c>
      <c r="H11" s="11" cm="1">
        <f t="array" aca="1" ref="H11" ca="1">DMStoNum(G11)</f>
        <v>200.69944444444445</v>
      </c>
    </row>
    <row r="12" spans="1:8" x14ac:dyDescent="0.25">
      <c r="A12" s="1">
        <f t="shared" ca="1" si="0"/>
        <v>83</v>
      </c>
      <c r="B12" s="1">
        <f t="shared" ca="1" si="1"/>
        <v>38</v>
      </c>
      <c r="C12" s="1">
        <f t="shared" ca="1" si="1"/>
        <v>19</v>
      </c>
      <c r="D12" s="12" t="str">
        <f t="shared" ca="1" si="2"/>
        <v>83° 38' 19"</v>
      </c>
      <c r="E12" s="11">
        <f t="shared" ca="1" si="3"/>
        <v>83.638611111111118</v>
      </c>
      <c r="F12" s="4"/>
      <c r="G12" s="12" t="str" cm="1">
        <f t="array" aca="1" ref="G12" ca="1">DMSfromNum(E12)</f>
        <v>83° 38' 19"</v>
      </c>
      <c r="H12" s="11" cm="1">
        <f t="array" aca="1" ref="H12" ca="1">DMStoNum(G12)</f>
        <v>83.638611111111118</v>
      </c>
    </row>
    <row r="13" spans="1:8" x14ac:dyDescent="0.25">
      <c r="A13" s="1">
        <f t="shared" ca="1" si="0"/>
        <v>247</v>
      </c>
      <c r="B13" s="1">
        <f t="shared" ca="1" si="1"/>
        <v>2</v>
      </c>
      <c r="C13" s="1">
        <f t="shared" ca="1" si="1"/>
        <v>2</v>
      </c>
      <c r="D13" s="12" t="str">
        <f t="shared" ca="1" si="2"/>
        <v>247° 2' 2"</v>
      </c>
      <c r="E13" s="11">
        <f t="shared" ca="1" si="3"/>
        <v>247.0338888888889</v>
      </c>
      <c r="F13" s="4"/>
      <c r="G13" s="12" t="str" cm="1">
        <f t="array" aca="1" ref="G13" ca="1">DMSfromNum(E13)</f>
        <v>247° 2' 2"</v>
      </c>
      <c r="H13" s="11" cm="1">
        <f t="array" aca="1" ref="H13" ca="1">DMStoNum(G13)</f>
        <v>247.0338888888889</v>
      </c>
    </row>
    <row r="14" spans="1:8" x14ac:dyDescent="0.25">
      <c r="A14" s="1">
        <f t="shared" ca="1" si="0"/>
        <v>-340</v>
      </c>
      <c r="B14" s="1">
        <f t="shared" ca="1" si="1"/>
        <v>48</v>
      </c>
      <c r="C14" s="1">
        <f t="shared" ca="1" si="1"/>
        <v>40</v>
      </c>
      <c r="D14" s="12" t="str">
        <f t="shared" ca="1" si="2"/>
        <v>-340° 48' 40"</v>
      </c>
      <c r="E14" s="11">
        <f t="shared" ca="1" si="3"/>
        <v>-340.81111111111113</v>
      </c>
      <c r="F14" s="4"/>
      <c r="G14" s="12" t="str" cm="1">
        <f t="array" aca="1" ref="G14" ca="1">DMSfromNum(E14)</f>
        <v>-340° 48' 40"</v>
      </c>
      <c r="H14" s="11" cm="1">
        <f t="array" aca="1" ref="H14" ca="1">DMStoNum(G14)</f>
        <v>-340.81111111111113</v>
      </c>
    </row>
    <row r="15" spans="1:8" x14ac:dyDescent="0.25">
      <c r="A15" s="1">
        <f t="shared" ca="1" si="0"/>
        <v>-263</v>
      </c>
      <c r="B15" s="1">
        <f t="shared" ca="1" si="1"/>
        <v>41</v>
      </c>
      <c r="C15" s="1">
        <f t="shared" ca="1" si="1"/>
        <v>48</v>
      </c>
      <c r="D15" s="12" t="str">
        <f t="shared" ca="1" si="2"/>
        <v>-263° 41' 48"</v>
      </c>
      <c r="E15" s="11">
        <f t="shared" ca="1" si="3"/>
        <v>-263.69666666666666</v>
      </c>
      <c r="F15" s="4"/>
      <c r="G15" s="12" t="str" cm="1">
        <f t="array" aca="1" ref="G15" ca="1">DMSfromNum(E15)</f>
        <v>-263° 41' 48"</v>
      </c>
      <c r="H15" s="11" cm="1">
        <f t="array" aca="1" ref="H15" ca="1">DMStoNum(G15)</f>
        <v>-263.69666666666666</v>
      </c>
    </row>
    <row r="16" spans="1:8" x14ac:dyDescent="0.25">
      <c r="A16" s="1">
        <f t="shared" ca="1" si="0"/>
        <v>-77</v>
      </c>
      <c r="B16" s="1">
        <f t="shared" ca="1" si="1"/>
        <v>31</v>
      </c>
      <c r="C16" s="1">
        <f t="shared" ca="1" si="1"/>
        <v>3</v>
      </c>
      <c r="D16" s="12" t="str">
        <f t="shared" ca="1" si="2"/>
        <v>-77° 31' 3"</v>
      </c>
      <c r="E16" s="11">
        <f t="shared" ca="1" si="3"/>
        <v>-77.517499999999998</v>
      </c>
      <c r="F16" s="4"/>
      <c r="G16" s="12" t="str" cm="1">
        <f t="array" aca="1" ref="G16" ca="1">DMSfromNum(E16)</f>
        <v>-77° 31' 3"</v>
      </c>
      <c r="H16" s="11" cm="1">
        <f t="array" aca="1" ref="H16" ca="1">DMStoNum(G16)</f>
        <v>-77.517499999999998</v>
      </c>
    </row>
    <row r="17" spans="1:8" x14ac:dyDescent="0.25">
      <c r="A17" s="1">
        <f t="shared" ca="1" si="0"/>
        <v>167</v>
      </c>
      <c r="B17" s="1">
        <f t="shared" ca="1" si="1"/>
        <v>43</v>
      </c>
      <c r="C17" s="1">
        <f t="shared" ca="1" si="1"/>
        <v>12</v>
      </c>
      <c r="D17" s="12" t="str">
        <f t="shared" ca="1" si="2"/>
        <v>167° 43' 12"</v>
      </c>
      <c r="E17" s="11">
        <f t="shared" ca="1" si="3"/>
        <v>167.72</v>
      </c>
      <c r="F17" s="4"/>
      <c r="G17" s="12" t="str" cm="1">
        <f t="array" aca="1" ref="G17" ca="1">DMSfromNum(E17)</f>
        <v>167° 43' 12"</v>
      </c>
      <c r="H17" s="11" cm="1">
        <f t="array" aca="1" ref="H17" ca="1">DMStoNum(G17)</f>
        <v>167.72</v>
      </c>
    </row>
    <row r="18" spans="1:8" x14ac:dyDescent="0.25">
      <c r="A18" s="1">
        <f t="shared" ca="1" si="0"/>
        <v>239</v>
      </c>
      <c r="B18" s="1">
        <f t="shared" ca="1" si="1"/>
        <v>17</v>
      </c>
      <c r="C18" s="1">
        <f t="shared" ca="1" si="1"/>
        <v>20</v>
      </c>
      <c r="D18" s="12" t="str">
        <f t="shared" ca="1" si="2"/>
        <v>239° 17' 20"</v>
      </c>
      <c r="E18" s="11">
        <f t="shared" ca="1" si="3"/>
        <v>239.28888888888889</v>
      </c>
      <c r="F18" s="4"/>
      <c r="G18" s="12" t="str" cm="1">
        <f t="array" aca="1" ref="G18" ca="1">DMSfromNum(E18)</f>
        <v>239° 17' 20"</v>
      </c>
      <c r="H18" s="11" cm="1">
        <f t="array" aca="1" ref="H18" ca="1">DMStoNum(G18)</f>
        <v>239.28888888888889</v>
      </c>
    </row>
    <row r="19" spans="1:8" x14ac:dyDescent="0.25">
      <c r="A19" s="1">
        <f t="shared" ca="1" si="0"/>
        <v>-337</v>
      </c>
      <c r="B19" s="1">
        <f t="shared" ca="1" si="1"/>
        <v>3</v>
      </c>
      <c r="C19" s="1">
        <f t="shared" ca="1" si="1"/>
        <v>11</v>
      </c>
      <c r="D19" s="12" t="str">
        <f t="shared" ca="1" si="2"/>
        <v>-337° 3' 11"</v>
      </c>
      <c r="E19" s="11">
        <f t="shared" ca="1" si="3"/>
        <v>-337.05305555555555</v>
      </c>
      <c r="F19" s="4"/>
      <c r="G19" s="12" t="str" cm="1">
        <f t="array" aca="1" ref="G19" ca="1">DMSfromNum(E19)</f>
        <v>-337° 3' 11"</v>
      </c>
      <c r="H19" s="11" cm="1">
        <f t="array" aca="1" ref="H19" ca="1">DMStoNum(G19)</f>
        <v>-337.05305555555555</v>
      </c>
    </row>
    <row r="20" spans="1:8" x14ac:dyDescent="0.25">
      <c r="A20" s="1">
        <f t="shared" ca="1" si="0"/>
        <v>148</v>
      </c>
      <c r="B20" s="1">
        <f t="shared" ca="1" si="1"/>
        <v>51</v>
      </c>
      <c r="C20" s="1">
        <f t="shared" ca="1" si="1"/>
        <v>34</v>
      </c>
      <c r="D20" s="12" t="str">
        <f t="shared" ca="1" si="2"/>
        <v>148° 51' 34"</v>
      </c>
      <c r="E20" s="11">
        <f t="shared" ca="1" si="3"/>
        <v>148.85944444444445</v>
      </c>
      <c r="F20" s="4"/>
      <c r="G20" s="12" t="str" cm="1">
        <f t="array" aca="1" ref="G20" ca="1">DMSfromNum(E20)</f>
        <v>148° 51' 34"</v>
      </c>
      <c r="H20" s="11" cm="1">
        <f t="array" aca="1" ref="H20" ca="1">DMStoNum(G20)</f>
        <v>148.85944444444445</v>
      </c>
    </row>
    <row r="21" spans="1:8" x14ac:dyDescent="0.25">
      <c r="A21" s="1">
        <f t="shared" ca="1" si="0"/>
        <v>-72</v>
      </c>
      <c r="B21" s="1">
        <f t="shared" ca="1" si="1"/>
        <v>24</v>
      </c>
      <c r="C21" s="1">
        <f t="shared" ca="1" si="1"/>
        <v>55</v>
      </c>
      <c r="D21" s="12" t="str">
        <f t="shared" ca="1" si="2"/>
        <v>-72° 24' 55"</v>
      </c>
      <c r="E21" s="11">
        <f t="shared" ca="1" si="3"/>
        <v>-72.415277777777789</v>
      </c>
      <c r="F21" s="4"/>
      <c r="G21" s="12" t="str" cm="1">
        <f t="array" aca="1" ref="G21" ca="1">DMSfromNum(E21)</f>
        <v>-72° 24' 55"</v>
      </c>
      <c r="H21" s="11" cm="1">
        <f t="array" aca="1" ref="H21" ca="1">DMStoNum(G21)</f>
        <v>-72.415277777777774</v>
      </c>
    </row>
    <row r="22" spans="1:8" x14ac:dyDescent="0.25">
      <c r="A22" s="1">
        <f t="shared" ca="1" si="0"/>
        <v>-222</v>
      </c>
      <c r="B22" s="1">
        <f t="shared" ca="1" si="1"/>
        <v>26</v>
      </c>
      <c r="C22" s="1">
        <f t="shared" ca="1" si="1"/>
        <v>8</v>
      </c>
      <c r="D22" s="12" t="str">
        <f t="shared" ca="1" si="2"/>
        <v>-222° 26' 8"</v>
      </c>
      <c r="E22" s="11">
        <f t="shared" ca="1" si="3"/>
        <v>-222.43555555555557</v>
      </c>
      <c r="F22" s="4"/>
      <c r="G22" s="12" t="str" cm="1">
        <f t="array" aca="1" ref="G22" ca="1">DMSfromNum(E22)</f>
        <v>-222° 26' 8"</v>
      </c>
      <c r="H22" s="11" cm="1">
        <f t="array" aca="1" ref="H22" ca="1">DMStoNum(G22)</f>
        <v>-222.43555555555557</v>
      </c>
    </row>
    <row r="23" spans="1:8" x14ac:dyDescent="0.25">
      <c r="A23" s="1">
        <f t="shared" ca="1" si="0"/>
        <v>11</v>
      </c>
      <c r="B23" s="1">
        <f t="shared" ca="1" si="1"/>
        <v>29</v>
      </c>
      <c r="C23" s="1">
        <f t="shared" ca="1" si="1"/>
        <v>58</v>
      </c>
      <c r="D23" s="12" t="str">
        <f t="shared" ca="1" si="2"/>
        <v>11° 29' 58"</v>
      </c>
      <c r="E23" s="11">
        <f t="shared" ca="1" si="3"/>
        <v>11.499444444444444</v>
      </c>
      <c r="F23" s="4"/>
      <c r="G23" s="12" t="str" cm="1">
        <f t="array" aca="1" ref="G23" ca="1">DMSfromNum(E23)</f>
        <v>11° 29' 58"</v>
      </c>
      <c r="H23" s="11" cm="1">
        <f t="array" aca="1" ref="H23" ca="1">DMStoNum(G23)</f>
        <v>11.499444444444444</v>
      </c>
    </row>
    <row r="24" spans="1:8" x14ac:dyDescent="0.25">
      <c r="A24" s="1">
        <f t="shared" ca="1" si="0"/>
        <v>-232</v>
      </c>
      <c r="B24" s="1">
        <f t="shared" ca="1" si="1"/>
        <v>39</v>
      </c>
      <c r="C24" s="1">
        <f t="shared" ca="1" si="1"/>
        <v>2</v>
      </c>
      <c r="D24" s="12" t="str">
        <f t="shared" ca="1" si="2"/>
        <v>-232° 39' 2"</v>
      </c>
      <c r="E24" s="11">
        <f t="shared" ca="1" si="3"/>
        <v>-232.65055555555557</v>
      </c>
      <c r="F24" s="4"/>
      <c r="G24" s="12" t="str" cm="1">
        <f t="array" aca="1" ref="G24" ca="1">DMSfromNum(E24)</f>
        <v>-232° 39' 2"</v>
      </c>
      <c r="H24" s="11" cm="1">
        <f t="array" aca="1" ref="H24" ca="1">DMStoNum(G24)</f>
        <v>-232.65055555555554</v>
      </c>
    </row>
    <row r="25" spans="1:8" x14ac:dyDescent="0.25">
      <c r="A25" s="1">
        <f t="shared" ca="1" si="0"/>
        <v>-13</v>
      </c>
      <c r="B25" s="1">
        <f t="shared" ca="1" si="1"/>
        <v>27</v>
      </c>
      <c r="C25" s="1">
        <f t="shared" ca="1" si="1"/>
        <v>41</v>
      </c>
      <c r="D25" s="12" t="str">
        <f t="shared" ca="1" si="2"/>
        <v>-13° 27' 41"</v>
      </c>
      <c r="E25" s="11">
        <f t="shared" ca="1" si="3"/>
        <v>-13.461388888888887</v>
      </c>
      <c r="F25" s="4"/>
      <c r="G25" s="12" t="str" cm="1">
        <f t="array" aca="1" ref="G25" ca="1">DMSfromNum(E25)</f>
        <v>-13° 27' 41"</v>
      </c>
      <c r="H25" s="11" cm="1">
        <f t="array" aca="1" ref="H25" ca="1">DMStoNum(G25)</f>
        <v>-13.461388888888889</v>
      </c>
    </row>
    <row r="26" spans="1:8" x14ac:dyDescent="0.25">
      <c r="A26" s="1">
        <f t="shared" ca="1" si="0"/>
        <v>-185</v>
      </c>
      <c r="B26" s="1">
        <f t="shared" ca="1" si="1"/>
        <v>1</v>
      </c>
      <c r="C26" s="1">
        <f t="shared" ca="1" si="1"/>
        <v>47</v>
      </c>
      <c r="D26" s="12" t="str">
        <f t="shared" ca="1" si="2"/>
        <v>-185° 1' 47"</v>
      </c>
      <c r="E26" s="11">
        <f t="shared" ca="1" si="3"/>
        <v>-185.02972222222223</v>
      </c>
      <c r="F26" s="4"/>
      <c r="G26" s="12" t="str" cm="1">
        <f t="array" aca="1" ref="G26" ca="1">DMSfromNum(E26)</f>
        <v>-185° 1' 47"</v>
      </c>
      <c r="H26" s="11" cm="1">
        <f t="array" aca="1" ref="H26" ca="1">DMStoNum(G26)</f>
        <v>-185.02972222222223</v>
      </c>
    </row>
    <row r="27" spans="1:8" x14ac:dyDescent="0.25">
      <c r="A27" s="1">
        <f t="shared" ca="1" si="0"/>
        <v>124</v>
      </c>
      <c r="B27" s="1">
        <f t="shared" ca="1" si="1"/>
        <v>49</v>
      </c>
      <c r="C27" s="1">
        <f t="shared" ca="1" si="1"/>
        <v>27</v>
      </c>
      <c r="D27" s="12" t="str">
        <f t="shared" ca="1" si="2"/>
        <v>124° 49' 27"</v>
      </c>
      <c r="E27" s="11">
        <f t="shared" ca="1" si="3"/>
        <v>124.82416666666666</v>
      </c>
      <c r="F27" s="4"/>
      <c r="G27" s="12" t="str" cm="1">
        <f t="array" aca="1" ref="G27" ca="1">DMSfromNum(E27)</f>
        <v>124° 49' 27"</v>
      </c>
      <c r="H27" s="11" cm="1">
        <f t="array" aca="1" ref="H27" ca="1">DMStoNum(G27)</f>
        <v>124.82416666666667</v>
      </c>
    </row>
    <row r="28" spans="1:8" x14ac:dyDescent="0.25">
      <c r="A28" s="1">
        <f t="shared" ca="1" si="0"/>
        <v>254</v>
      </c>
      <c r="B28" s="1">
        <f t="shared" ca="1" si="1"/>
        <v>36</v>
      </c>
      <c r="C28" s="1">
        <f t="shared" ca="1" si="1"/>
        <v>31</v>
      </c>
      <c r="D28" s="12" t="str">
        <f t="shared" ca="1" si="2"/>
        <v>254° 36' 31"</v>
      </c>
      <c r="E28" s="11">
        <f t="shared" ca="1" si="3"/>
        <v>254.60861111111112</v>
      </c>
      <c r="F28" s="4"/>
      <c r="G28" s="12" t="str" cm="1">
        <f t="array" aca="1" ref="G28" ca="1">DMSfromNum(E28)</f>
        <v>254° 36' 31"</v>
      </c>
      <c r="H28" s="11" cm="1">
        <f t="array" aca="1" ref="H28" ca="1">DMStoNum(G28)</f>
        <v>254.60861111111112</v>
      </c>
    </row>
    <row r="29" spans="1:8" x14ac:dyDescent="0.25">
      <c r="A29" s="1">
        <f t="shared" ca="1" si="0"/>
        <v>-312</v>
      </c>
      <c r="B29" s="1">
        <f t="shared" ca="1" si="1"/>
        <v>23</v>
      </c>
      <c r="C29" s="1">
        <f t="shared" ca="1" si="1"/>
        <v>3</v>
      </c>
      <c r="D29" s="12" t="str">
        <f t="shared" ca="1" si="2"/>
        <v>-312° 23' 3"</v>
      </c>
      <c r="E29" s="11">
        <f t="shared" ca="1" si="3"/>
        <v>-312.38416666666666</v>
      </c>
      <c r="F29" s="4"/>
      <c r="G29" s="12" t="str" cm="1">
        <f t="array" aca="1" ref="G29" ca="1">DMSfromNum(E29)</f>
        <v>-312° 23' 3"</v>
      </c>
      <c r="H29" s="11" cm="1">
        <f t="array" aca="1" ref="H29" ca="1">DMStoNum(G29)</f>
        <v>-312.38416666666666</v>
      </c>
    </row>
    <row r="30" spans="1:8" x14ac:dyDescent="0.25">
      <c r="A30" s="1">
        <f t="shared" ca="1" si="0"/>
        <v>167</v>
      </c>
      <c r="B30" s="1">
        <f t="shared" ca="1" si="1"/>
        <v>51</v>
      </c>
      <c r="C30" s="1">
        <f t="shared" ca="1" si="1"/>
        <v>13</v>
      </c>
      <c r="D30" s="12" t="str">
        <f t="shared" ca="1" si="2"/>
        <v>167° 51' 13"</v>
      </c>
      <c r="E30" s="11">
        <f t="shared" ca="1" si="3"/>
        <v>167.85361111111109</v>
      </c>
      <c r="F30" s="4"/>
      <c r="G30" s="12" t="str" cm="1">
        <f t="array" aca="1" ref="G30" ca="1">DMSfromNum(E30)</f>
        <v>167° 51' 13"</v>
      </c>
      <c r="H30" s="11" cm="1">
        <f t="array" aca="1" ref="H30" ca="1">DMStoNum(G30)</f>
        <v>167.85361111111112</v>
      </c>
    </row>
    <row r="31" spans="1:8" x14ac:dyDescent="0.25">
      <c r="A31" s="1">
        <f t="shared" ca="1" si="0"/>
        <v>-45</v>
      </c>
      <c r="B31" s="1">
        <f t="shared" ca="1" si="1"/>
        <v>18</v>
      </c>
      <c r="C31" s="1">
        <f t="shared" ca="1" si="1"/>
        <v>44</v>
      </c>
      <c r="D31" s="12" t="str">
        <f t="shared" ca="1" si="2"/>
        <v>-45° 18' 44"</v>
      </c>
      <c r="E31" s="11">
        <f t="shared" ca="1" si="3"/>
        <v>-45.312222222222218</v>
      </c>
      <c r="F31" s="4"/>
      <c r="G31" s="12" t="str" cm="1">
        <f t="array" aca="1" ref="G31" ca="1">DMSfromNum(E31)</f>
        <v>-45° 18' 44"</v>
      </c>
      <c r="H31" s="11" cm="1">
        <f t="array" aca="1" ref="H31" ca="1">DMStoNum(G31)</f>
        <v>-45.312222222222225</v>
      </c>
    </row>
    <row r="32" spans="1:8" x14ac:dyDescent="0.25">
      <c r="A32" s="1">
        <f t="shared" ca="1" si="0"/>
        <v>310</v>
      </c>
      <c r="B32" s="1">
        <f t="shared" ca="1" si="1"/>
        <v>46</v>
      </c>
      <c r="C32" s="1">
        <f t="shared" ca="1" si="1"/>
        <v>52</v>
      </c>
      <c r="D32" s="12" t="str">
        <f t="shared" ca="1" si="2"/>
        <v>310° 46' 52"</v>
      </c>
      <c r="E32" s="11">
        <f t="shared" ca="1" si="3"/>
        <v>310.7811111111111</v>
      </c>
      <c r="F32" s="4"/>
      <c r="G32" s="12" t="str" cm="1">
        <f t="array" aca="1" ref="G32" ca="1">DMSfromNum(E32)</f>
        <v>310° 46' 52"</v>
      </c>
      <c r="H32" s="11" cm="1">
        <f t="array" aca="1" ref="H32" ca="1">DMStoNum(G32)</f>
        <v>310.7811111111111</v>
      </c>
    </row>
    <row r="33" spans="1:8" x14ac:dyDescent="0.25">
      <c r="A33" s="1">
        <f t="shared" ca="1" si="0"/>
        <v>-11</v>
      </c>
      <c r="B33" s="1">
        <f t="shared" ca="1" si="1"/>
        <v>20</v>
      </c>
      <c r="C33" s="1">
        <f t="shared" ca="1" si="1"/>
        <v>35</v>
      </c>
      <c r="D33" s="12" t="str">
        <f t="shared" ca="1" si="2"/>
        <v>-11° 20' 35"</v>
      </c>
      <c r="E33" s="11">
        <f t="shared" ca="1" si="3"/>
        <v>-11.343055555555557</v>
      </c>
      <c r="F33" s="4"/>
      <c r="G33" s="12" t="str" cm="1">
        <f t="array" aca="1" ref="G33" ca="1">DMSfromNum(E33)</f>
        <v>-11° 20' 35"</v>
      </c>
      <c r="H33" s="11" cm="1">
        <f t="array" aca="1" ref="H33" ca="1">DMStoNum(G33)</f>
        <v>-11.343055555555555</v>
      </c>
    </row>
    <row r="34" spans="1:8" x14ac:dyDescent="0.25">
      <c r="A34" s="1">
        <f t="shared" ca="1" si="0"/>
        <v>-33</v>
      </c>
      <c r="B34" s="1">
        <f t="shared" ca="1" si="1"/>
        <v>53</v>
      </c>
      <c r="C34" s="1">
        <f t="shared" ca="1" si="1"/>
        <v>40</v>
      </c>
      <c r="D34" s="12" t="str">
        <f t="shared" ca="1" si="2"/>
        <v>-33° 53' 40"</v>
      </c>
      <c r="E34" s="11">
        <f t="shared" ca="1" si="3"/>
        <v>-33.894444444444446</v>
      </c>
      <c r="F34" s="4"/>
      <c r="G34" s="12" t="str" cm="1">
        <f t="array" aca="1" ref="G34" ca="1">DMSfromNum(E34)</f>
        <v>-33° 53' 40"</v>
      </c>
      <c r="H34" s="11" cm="1">
        <f t="array" aca="1" ref="H34" ca="1">DMStoNum(G34)</f>
        <v>-33.894444444444446</v>
      </c>
    </row>
    <row r="35" spans="1:8" x14ac:dyDescent="0.25">
      <c r="A35" s="1">
        <f t="shared" ca="1" si="0"/>
        <v>-71</v>
      </c>
      <c r="B35" s="1">
        <f t="shared" ca="1" si="1"/>
        <v>59</v>
      </c>
      <c r="C35" s="1">
        <f t="shared" ca="1" si="1"/>
        <v>54</v>
      </c>
      <c r="D35" s="12" t="str">
        <f t="shared" ca="1" si="2"/>
        <v>-71° 59' 54"</v>
      </c>
      <c r="E35" s="11">
        <f t="shared" ca="1" si="3"/>
        <v>-71.998333333333335</v>
      </c>
      <c r="F35" s="4"/>
      <c r="G35" s="12" t="str" cm="1">
        <f t="array" aca="1" ref="G35" ca="1">DMSfromNum(E35)</f>
        <v>-71° 59' 54"</v>
      </c>
      <c r="H35" s="11" cm="1">
        <f t="array" aca="1" ref="H35" ca="1">DMStoNum(G35)</f>
        <v>-71.998333333333335</v>
      </c>
    </row>
    <row r="36" spans="1:8" x14ac:dyDescent="0.25">
      <c r="A36" s="1">
        <f t="shared" ca="1" si="0"/>
        <v>2</v>
      </c>
      <c r="B36" s="1">
        <f t="shared" ca="1" si="1"/>
        <v>8</v>
      </c>
      <c r="C36" s="1">
        <f t="shared" ca="1" si="1"/>
        <v>38</v>
      </c>
      <c r="D36" s="12" t="str">
        <f t="shared" ca="1" si="2"/>
        <v>2° 8' 38"</v>
      </c>
      <c r="E36" s="11">
        <f t="shared" ca="1" si="3"/>
        <v>2.1438888888888887</v>
      </c>
      <c r="F36" s="4"/>
      <c r="G36" s="12" t="str" cm="1">
        <f t="array" aca="1" ref="G36" ca="1">DMSfromNum(E36)</f>
        <v>2° 8' 38"</v>
      </c>
      <c r="H36" s="11" cm="1">
        <f t="array" aca="1" ref="H36" ca="1">DMStoNum(G36)</f>
        <v>2.1438888888888887</v>
      </c>
    </row>
    <row r="37" spans="1:8" x14ac:dyDescent="0.25">
      <c r="A37" s="1">
        <f t="shared" ca="1" si="0"/>
        <v>359</v>
      </c>
      <c r="B37" s="1">
        <f t="shared" ca="1" si="1"/>
        <v>15</v>
      </c>
      <c r="C37" s="1">
        <f t="shared" ca="1" si="1"/>
        <v>42</v>
      </c>
      <c r="D37" s="12" t="str">
        <f t="shared" ca="1" si="2"/>
        <v>359° 15' 42"</v>
      </c>
      <c r="E37" s="11">
        <f t="shared" ca="1" si="3"/>
        <v>359.26166666666666</v>
      </c>
      <c r="F37" s="4"/>
      <c r="G37" s="12" t="str" cm="1">
        <f t="array" aca="1" ref="G37" ca="1">DMSfromNum(E37)</f>
        <v>359° 15' 42"</v>
      </c>
      <c r="H37" s="11" cm="1">
        <f t="array" aca="1" ref="H37" ca="1">DMStoNum(G37)</f>
        <v>359.26166666666666</v>
      </c>
    </row>
    <row r="38" spans="1:8" x14ac:dyDescent="0.25">
      <c r="A38" s="1">
        <f t="shared" ca="1" si="0"/>
        <v>36</v>
      </c>
      <c r="B38" s="1">
        <f t="shared" ca="1" si="1"/>
        <v>13</v>
      </c>
      <c r="C38" s="1">
        <f t="shared" ca="1" si="1"/>
        <v>23</v>
      </c>
      <c r="D38" s="12" t="str">
        <f t="shared" ca="1" si="2"/>
        <v>36° 13' 23"</v>
      </c>
      <c r="E38" s="11">
        <f t="shared" ca="1" si="3"/>
        <v>36.223055555555554</v>
      </c>
      <c r="F38" s="4"/>
      <c r="G38" s="12" t="str" cm="1">
        <f t="array" aca="1" ref="G38" ca="1">DMSfromNum(E38)</f>
        <v>36° 13' 23"</v>
      </c>
      <c r="H38" s="11" cm="1">
        <f t="array" aca="1" ref="H38" ca="1">DMStoNum(G38)</f>
        <v>36.223055555555554</v>
      </c>
    </row>
    <row r="39" spans="1:8" x14ac:dyDescent="0.25">
      <c r="A39" s="1">
        <f t="shared" ca="1" si="0"/>
        <v>116</v>
      </c>
      <c r="B39" s="1">
        <f t="shared" ca="1" si="1"/>
        <v>46</v>
      </c>
      <c r="C39" s="1">
        <f t="shared" ca="1" si="1"/>
        <v>28</v>
      </c>
      <c r="D39" s="12" t="str">
        <f t="shared" ca="1" si="2"/>
        <v>116° 46' 28"</v>
      </c>
      <c r="E39" s="11">
        <f t="shared" ca="1" si="3"/>
        <v>116.77444444444444</v>
      </c>
      <c r="F39" s="4"/>
      <c r="G39" s="12" t="str" cm="1">
        <f t="array" aca="1" ref="G39" ca="1">DMSfromNum(E39)</f>
        <v>116° 46' 28"</v>
      </c>
      <c r="H39" s="11" cm="1">
        <f t="array" aca="1" ref="H39" ca="1">DMStoNum(G39)</f>
        <v>116.77444444444444</v>
      </c>
    </row>
    <row r="40" spans="1:8" x14ac:dyDescent="0.25">
      <c r="A40" s="1">
        <f t="shared" ca="1" si="0"/>
        <v>-86</v>
      </c>
      <c r="B40" s="1">
        <f t="shared" ca="1" si="1"/>
        <v>18</v>
      </c>
      <c r="C40" s="1">
        <f t="shared" ca="1" si="1"/>
        <v>52</v>
      </c>
      <c r="D40" s="12" t="str">
        <f t="shared" ca="1" si="2"/>
        <v>-86° 18' 52"</v>
      </c>
      <c r="E40" s="11">
        <f t="shared" ca="1" si="3"/>
        <v>-86.314444444444447</v>
      </c>
      <c r="F40" s="4"/>
      <c r="G40" s="12" t="str" cm="1">
        <f t="array" aca="1" ref="G40" ca="1">DMSfromNum(E40)</f>
        <v>-86° 18' 52"</v>
      </c>
      <c r="H40" s="11" cm="1">
        <f t="array" aca="1" ref="H40" ca="1">DMStoNum(G40)</f>
        <v>-86.314444444444447</v>
      </c>
    </row>
    <row r="41" spans="1:8" x14ac:dyDescent="0.25">
      <c r="A41" s="1">
        <f t="shared" ca="1" si="0"/>
        <v>166</v>
      </c>
      <c r="B41" s="1">
        <f t="shared" ca="1" si="1"/>
        <v>17</v>
      </c>
      <c r="C41" s="1">
        <f t="shared" ca="1" si="1"/>
        <v>30</v>
      </c>
      <c r="D41" s="12" t="str">
        <f t="shared" ca="1" si="2"/>
        <v>166° 17' 30"</v>
      </c>
      <c r="E41" s="11">
        <f t="shared" ca="1" si="3"/>
        <v>166.29166666666666</v>
      </c>
      <c r="F41" s="4"/>
      <c r="G41" s="12" t="str" cm="1">
        <f t="array" aca="1" ref="G41" ca="1">DMSfromNum(E41)</f>
        <v>166° 17' 30"</v>
      </c>
      <c r="H41" s="11" cm="1">
        <f t="array" aca="1" ref="H41" ca="1">DMStoNum(G41)</f>
        <v>166.29166666666666</v>
      </c>
    </row>
    <row r="42" spans="1:8" x14ac:dyDescent="0.25">
      <c r="A42" s="1">
        <f t="shared" ca="1" si="0"/>
        <v>-197</v>
      </c>
      <c r="B42" s="1">
        <f t="shared" ca="1" si="1"/>
        <v>7</v>
      </c>
      <c r="C42" s="1">
        <f t="shared" ca="1" si="1"/>
        <v>4</v>
      </c>
      <c r="D42" s="12" t="str">
        <f t="shared" ca="1" si="2"/>
        <v>-197° 7' 4"</v>
      </c>
      <c r="E42" s="11">
        <f t="shared" ca="1" si="3"/>
        <v>-197.11777777777777</v>
      </c>
      <c r="F42" s="4"/>
      <c r="G42" s="12" t="str" cm="1">
        <f t="array" aca="1" ref="G42" ca="1">DMSfromNum(E42)</f>
        <v>-197° 7' 4"</v>
      </c>
      <c r="H42" s="11" cm="1">
        <f t="array" aca="1" ref="H42" ca="1">DMStoNum(G42)</f>
        <v>-197.11777777777777</v>
      </c>
    </row>
    <row r="43" spans="1:8" x14ac:dyDescent="0.25">
      <c r="A43" s="1">
        <f t="shared" ca="1" si="0"/>
        <v>-141</v>
      </c>
      <c r="B43" s="1">
        <f t="shared" ca="1" si="1"/>
        <v>46</v>
      </c>
      <c r="C43" s="1">
        <f t="shared" ca="1" si="1"/>
        <v>48</v>
      </c>
      <c r="D43" s="12" t="str">
        <f t="shared" ca="1" si="2"/>
        <v>-141° 46' 48"</v>
      </c>
      <c r="E43" s="11">
        <f t="shared" ca="1" si="3"/>
        <v>-141.78</v>
      </c>
      <c r="F43" s="4"/>
      <c r="G43" s="12" t="str" cm="1">
        <f t="array" aca="1" ref="G43" ca="1">DMSfromNum(E43)</f>
        <v>-141° 46' 48"</v>
      </c>
      <c r="H43" s="11" cm="1">
        <f t="array" aca="1" ref="H43" ca="1">DMStoNum(G43)</f>
        <v>-141.78</v>
      </c>
    </row>
    <row r="44" spans="1:8" x14ac:dyDescent="0.25">
      <c r="A44" s="1">
        <f t="shared" ca="1" si="0"/>
        <v>-255</v>
      </c>
      <c r="B44" s="1">
        <f t="shared" ca="1" si="1"/>
        <v>45</v>
      </c>
      <c r="C44" s="1">
        <f t="shared" ca="1" si="1"/>
        <v>26</v>
      </c>
      <c r="D44" s="12" t="str">
        <f t="shared" ca="1" si="2"/>
        <v>-255° 45' 26"</v>
      </c>
      <c r="E44" s="11">
        <f t="shared" ca="1" si="3"/>
        <v>-255.75722222222223</v>
      </c>
      <c r="F44" s="4"/>
      <c r="G44" s="12" t="str" cm="1">
        <f t="array" aca="1" ref="G44" ca="1">DMSfromNum(E44)</f>
        <v>-255° 45' 26"</v>
      </c>
      <c r="H44" s="11" cm="1">
        <f t="array" aca="1" ref="H44" ca="1">DMStoNum(G44)</f>
        <v>-255.75722222222223</v>
      </c>
    </row>
    <row r="45" spans="1:8" x14ac:dyDescent="0.25">
      <c r="A45" s="1">
        <f t="shared" ca="1" si="0"/>
        <v>303</v>
      </c>
      <c r="B45" s="1">
        <f t="shared" ca="1" si="1"/>
        <v>16</v>
      </c>
      <c r="C45" s="1">
        <f t="shared" ca="1" si="1"/>
        <v>0</v>
      </c>
      <c r="D45" s="12" t="str">
        <f t="shared" ca="1" si="2"/>
        <v>303° 16' 0"</v>
      </c>
      <c r="E45" s="11">
        <f t="shared" ca="1" si="3"/>
        <v>303.26666666666665</v>
      </c>
      <c r="F45" s="4"/>
      <c r="G45" s="12" t="str" cm="1">
        <f t="array" aca="1" ref="G45" ca="1">DMSfromNum(E45)</f>
        <v>303° 16' 0"</v>
      </c>
      <c r="H45" s="11" cm="1">
        <f t="array" aca="1" ref="H45" ca="1">DMStoNum(G45)</f>
        <v>303.26666666666665</v>
      </c>
    </row>
    <row r="46" spans="1:8" x14ac:dyDescent="0.25">
      <c r="A46" s="1">
        <f t="shared" ca="1" si="0"/>
        <v>-12</v>
      </c>
      <c r="B46" s="1">
        <f t="shared" ca="1" si="1"/>
        <v>59</v>
      </c>
      <c r="C46" s="1">
        <f t="shared" ca="1" si="1"/>
        <v>35</v>
      </c>
      <c r="D46" s="12" t="str">
        <f t="shared" ca="1" si="2"/>
        <v>-12° 59' 35"</v>
      </c>
      <c r="E46" s="11">
        <f t="shared" ca="1" si="3"/>
        <v>-12.993055555555555</v>
      </c>
      <c r="F46" s="4"/>
      <c r="G46" s="12" t="str" cm="1">
        <f t="array" aca="1" ref="G46" ca="1">DMSfromNum(E46)</f>
        <v>-12° 59' 35"</v>
      </c>
      <c r="H46" s="11" cm="1">
        <f t="array" aca="1" ref="H46" ca="1">DMStoNum(G46)</f>
        <v>-12.993055555555555</v>
      </c>
    </row>
    <row r="47" spans="1:8" x14ac:dyDescent="0.25">
      <c r="A47" s="1">
        <f t="shared" ca="1" si="0"/>
        <v>-72</v>
      </c>
      <c r="B47" s="1">
        <f t="shared" ca="1" si="1"/>
        <v>44</v>
      </c>
      <c r="C47" s="1">
        <f t="shared" ca="1" si="1"/>
        <v>3</v>
      </c>
      <c r="D47" s="12" t="str">
        <f t="shared" ca="1" si="2"/>
        <v>-72° 44' 3"</v>
      </c>
      <c r="E47" s="11">
        <f t="shared" ca="1" si="3"/>
        <v>-72.734166666666667</v>
      </c>
      <c r="F47" s="4"/>
      <c r="G47" s="12" t="str" cm="1">
        <f t="array" aca="1" ref="G47" ca="1">DMSfromNum(E47)</f>
        <v>-72° 44' 3"</v>
      </c>
      <c r="H47" s="11" cm="1">
        <f t="array" aca="1" ref="H47" ca="1">DMStoNum(G47)</f>
        <v>-72.734166666666667</v>
      </c>
    </row>
    <row r="48" spans="1:8" x14ac:dyDescent="0.25">
      <c r="A48" s="1">
        <f t="shared" ca="1" si="0"/>
        <v>87</v>
      </c>
      <c r="B48" s="1">
        <f t="shared" ca="1" si="1"/>
        <v>31</v>
      </c>
      <c r="C48" s="1">
        <f t="shared" ca="1" si="1"/>
        <v>32</v>
      </c>
      <c r="D48" s="12" t="str">
        <f t="shared" ca="1" si="2"/>
        <v>87° 31' 32"</v>
      </c>
      <c r="E48" s="11">
        <f t="shared" ca="1" si="3"/>
        <v>87.525555555555556</v>
      </c>
      <c r="F48" s="4"/>
      <c r="G48" s="12" t="str" cm="1">
        <f t="array" aca="1" ref="G48" ca="1">DMSfromNum(E48)</f>
        <v>87° 31' 32"</v>
      </c>
      <c r="H48" s="11" cm="1">
        <f t="array" aca="1" ref="H48" ca="1">DMStoNum(G48)</f>
        <v>87.525555555555556</v>
      </c>
    </row>
    <row r="49" spans="1:8" x14ac:dyDescent="0.25">
      <c r="A49" s="1">
        <f t="shared" ca="1" si="0"/>
        <v>-4</v>
      </c>
      <c r="B49" s="1">
        <f t="shared" ca="1" si="1"/>
        <v>52</v>
      </c>
      <c r="C49" s="1">
        <f t="shared" ca="1" si="1"/>
        <v>4</v>
      </c>
      <c r="D49" s="12" t="str">
        <f t="shared" ca="1" si="2"/>
        <v>-4° 52' 4"</v>
      </c>
      <c r="E49" s="11">
        <f t="shared" ca="1" si="3"/>
        <v>-4.8677777777777784</v>
      </c>
      <c r="F49" s="4"/>
      <c r="G49" s="12" t="str" cm="1">
        <f t="array" aca="1" ref="G49" ca="1">DMSfromNum(E49)</f>
        <v>-4° 52' 4"</v>
      </c>
      <c r="H49" s="11" cm="1">
        <f t="array" aca="1" ref="H49" ca="1">DMStoNum(G49)</f>
        <v>-4.8677777777777775</v>
      </c>
    </row>
    <row r="50" spans="1:8" x14ac:dyDescent="0.25">
      <c r="A50" s="1">
        <f t="shared" ca="1" si="0"/>
        <v>349</v>
      </c>
      <c r="B50" s="1">
        <f t="shared" ca="1" si="1"/>
        <v>13</v>
      </c>
      <c r="C50" s="1">
        <f t="shared" ca="1" si="1"/>
        <v>50</v>
      </c>
      <c r="D50" s="12" t="str">
        <f t="shared" ca="1" si="2"/>
        <v>349° 13' 50"</v>
      </c>
      <c r="E50" s="11">
        <f t="shared" ca="1" si="3"/>
        <v>349.23055555555555</v>
      </c>
      <c r="F50" s="4"/>
      <c r="G50" s="12" t="str" cm="1">
        <f t="array" aca="1" ref="G50" ca="1">DMSfromNum(E50)</f>
        <v>349° 13' 50"</v>
      </c>
      <c r="H50" s="11" cm="1">
        <f t="array" aca="1" ref="H50" ca="1">DMStoNum(G50)</f>
        <v>349.23055555555555</v>
      </c>
    </row>
  </sheetData>
  <conditionalFormatting sqref="G2:G50">
    <cfRule type="cellIs" dxfId="1" priority="2" operator="equal">
      <formula>$D2</formula>
    </cfRule>
  </conditionalFormatting>
  <conditionalFormatting sqref="H2:H50">
    <cfRule type="expression" dxfId="0" priority="1">
      <formula>ABS($H2 - $E2) &lt; 0.0001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00A15-116D-4452-AA0F-F471B16DD537}">
  <sheetPr codeName="Sheet6"/>
  <dimension ref="A1:D6"/>
  <sheetViews>
    <sheetView workbookViewId="0">
      <selection activeCell="B1" sqref="B1"/>
    </sheetView>
  </sheetViews>
  <sheetFormatPr defaultRowHeight="15" x14ac:dyDescent="0.25"/>
  <sheetData>
    <row r="1" spans="1:4" x14ac:dyDescent="0.25">
      <c r="A1" s="1" t="s">
        <v>115</v>
      </c>
      <c r="B1" s="1" t="str">
        <f>'Таблица 7'!K3</f>
        <v>X</v>
      </c>
      <c r="C1" s="1" t="str">
        <f>'Таблица 7'!L3</f>
        <v>Y</v>
      </c>
      <c r="D1" s="1" t="s">
        <v>162</v>
      </c>
    </row>
    <row r="2" spans="1:4" x14ac:dyDescent="0.25">
      <c r="A2" s="1" t="s">
        <v>213</v>
      </c>
      <c r="B2" s="1">
        <f>'Таблица 7'!K7</f>
        <v>1461.31</v>
      </c>
      <c r="C2" s="1">
        <f>'Таблица 7'!L7</f>
        <v>2370.5700000000002</v>
      </c>
      <c r="D2">
        <f>'Таблица 9'!J3</f>
        <v>132.24</v>
      </c>
    </row>
    <row r="3" spans="1:4" x14ac:dyDescent="0.25">
      <c r="A3" s="1">
        <v>111</v>
      </c>
      <c r="B3" s="7">
        <f>'Таблица 7'!K9</f>
        <v>1607.8737385283625</v>
      </c>
      <c r="C3" s="7">
        <f>'Таблица 7'!L9</f>
        <v>2327.6122692231397</v>
      </c>
      <c r="D3">
        <f>'Таблица 9'!J5</f>
        <v>136.58846884333227</v>
      </c>
    </row>
    <row r="4" spans="1:4" x14ac:dyDescent="0.25">
      <c r="A4" s="1">
        <v>112</v>
      </c>
      <c r="B4" s="7">
        <f>'Таблица 7'!K11</f>
        <v>1588.3657656241382</v>
      </c>
      <c r="C4" s="7">
        <f>'Таблица 7'!L11</f>
        <v>2440.7311457575775</v>
      </c>
      <c r="D4">
        <f>'Таблица 9'!J7</f>
        <v>132.67169382665932</v>
      </c>
    </row>
    <row r="5" spans="1:4" x14ac:dyDescent="0.25">
      <c r="A5" s="1">
        <v>113</v>
      </c>
      <c r="B5" s="7">
        <f>'Таблица 7'!K13</f>
        <v>1578.5591256601788</v>
      </c>
      <c r="C5" s="7">
        <f>'Таблица 7'!L13</f>
        <v>2595.4416543283032</v>
      </c>
      <c r="D5">
        <f>'Таблица 9'!J9</f>
        <v>133.28875605300547</v>
      </c>
    </row>
    <row r="6" spans="1:4" x14ac:dyDescent="0.25">
      <c r="A6" s="1" t="s">
        <v>214</v>
      </c>
      <c r="B6" s="1">
        <f>'Таблица 7'!K15</f>
        <v>1336.48</v>
      </c>
      <c r="C6" s="1">
        <f>'Таблица 7'!L15</f>
        <v>2587.0500000000002</v>
      </c>
      <c r="D6">
        <f>'Таблица 9'!J11</f>
        <v>131.59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2445E-1E10-41E4-A3FE-CE9EDB3EA89A}">
  <sheetPr codeName="Sheet7"/>
  <dimension ref="A1:D29"/>
  <sheetViews>
    <sheetView tabSelected="1" workbookViewId="0">
      <selection activeCell="D17" sqref="D17"/>
    </sheetView>
  </sheetViews>
  <sheetFormatPr defaultRowHeight="15" x14ac:dyDescent="0.25"/>
  <cols>
    <col min="1" max="1" width="11.140625" bestFit="1" customWidth="1"/>
  </cols>
  <sheetData>
    <row r="1" spans="1:4" ht="60" x14ac:dyDescent="0.25">
      <c r="A1" s="1" t="s">
        <v>115</v>
      </c>
      <c r="B1" s="8" t="s">
        <v>176</v>
      </c>
      <c r="C1" s="8" t="s">
        <v>177</v>
      </c>
      <c r="D1" s="8" t="s">
        <v>184</v>
      </c>
    </row>
    <row r="2" spans="1:4" x14ac:dyDescent="0.25">
      <c r="A2" s="33" t="s">
        <v>215</v>
      </c>
      <c r="B2" s="1"/>
      <c r="C2" s="1"/>
      <c r="D2" s="1"/>
    </row>
    <row r="3" spans="1:4" x14ac:dyDescent="0.25">
      <c r="A3" s="33">
        <f>'Таблица 10'!A6</f>
        <v>1</v>
      </c>
      <c r="B3" s="1">
        <f>'Таблица 10'!C6</f>
        <v>88</v>
      </c>
      <c r="C3" s="1" cm="1">
        <f t="array" ref="C3">DMStoNum('Таблица 10'!D6)</f>
        <v>12.033333333333333</v>
      </c>
      <c r="D3" s="1">
        <f>'Таблица 10'!K6</f>
        <v>129.55000000000001</v>
      </c>
    </row>
    <row r="4" spans="1:4" x14ac:dyDescent="0.25">
      <c r="A4" s="33">
        <f>'Таблица 10'!A7</f>
        <v>2</v>
      </c>
      <c r="B4" s="1">
        <f>'Таблица 10'!C7</f>
        <v>111</v>
      </c>
      <c r="C4" s="1" cm="1">
        <f t="array" ref="C4">DMStoNum('Таблица 10'!D7)</f>
        <v>78.183333333333337</v>
      </c>
      <c r="D4" s="1">
        <f>'Таблица 10'!K7</f>
        <v>128.54000000000002</v>
      </c>
    </row>
    <row r="5" spans="1:4" x14ac:dyDescent="0.25">
      <c r="A5" s="33">
        <f>'Таблица 10'!A8</f>
        <v>3</v>
      </c>
      <c r="B5" s="1">
        <f>'Таблица 10'!C8</f>
        <v>155</v>
      </c>
      <c r="C5" s="1" cm="1">
        <f t="array" ref="C5">DMStoNum('Таблица 10'!D8)</f>
        <v>136.4</v>
      </c>
      <c r="D5" s="1">
        <f>'Таблица 10'!K8</f>
        <v>128.95000000000002</v>
      </c>
    </row>
    <row r="6" spans="1:4" x14ac:dyDescent="0.25">
      <c r="A6" s="33">
        <f>'Таблица 10'!A9</f>
        <v>4</v>
      </c>
      <c r="B6" s="1">
        <f>'Таблица 10'!C9</f>
        <v>132</v>
      </c>
      <c r="C6" s="1" cm="1">
        <f t="array" ref="C6">DMStoNum('Таблица 10'!D9)</f>
        <v>144.91666666666666</v>
      </c>
      <c r="D6" s="1">
        <f>'Таблица 10'!K9</f>
        <v>128.91</v>
      </c>
    </row>
    <row r="7" spans="1:4" x14ac:dyDescent="0.25">
      <c r="A7" s="33">
        <f>'Таблица 10'!A10</f>
        <v>5</v>
      </c>
      <c r="B7" s="1">
        <f>'Таблица 10'!C10</f>
        <v>141</v>
      </c>
      <c r="C7" s="1" cm="1">
        <f t="array" ref="C7">DMStoNum('Таблица 10'!D10)</f>
        <v>195.45</v>
      </c>
      <c r="D7" s="1">
        <f>'Таблица 10'!K10</f>
        <v>132.32000000000002</v>
      </c>
    </row>
    <row r="8" spans="1:4" x14ac:dyDescent="0.25">
      <c r="A8" s="33" t="s">
        <v>216</v>
      </c>
      <c r="B8" s="1"/>
      <c r="C8" s="1"/>
      <c r="D8" s="1"/>
    </row>
    <row r="9" spans="1:4" x14ac:dyDescent="0.25">
      <c r="A9" s="33">
        <f>'Таблица 10'!$A$12</f>
        <v>6</v>
      </c>
      <c r="B9" s="1">
        <f>'Таблица 10'!C12</f>
        <v>94</v>
      </c>
      <c r="C9" s="1" cm="1">
        <f t="array" ref="C9">DMStoNum('Таблица 10'!D12)</f>
        <v>125.41666666666667</v>
      </c>
      <c r="D9" s="7">
        <f>'Таблица 10'!$K$12</f>
        <v>133.63846884333228</v>
      </c>
    </row>
    <row r="10" spans="1:4" x14ac:dyDescent="0.25">
      <c r="A10" s="33">
        <f>'Таблица 10'!$A$13</f>
        <v>7</v>
      </c>
      <c r="B10" s="1">
        <f>'Таблица 10'!C13</f>
        <v>131</v>
      </c>
      <c r="C10" s="1" cm="1">
        <f t="array" ref="C10">DMStoNum('Таблица 10'!D13)</f>
        <v>181.35</v>
      </c>
      <c r="D10" s="7">
        <f>'Таблица 10'!$K$13</f>
        <v>133.92846884333227</v>
      </c>
    </row>
    <row r="11" spans="1:4" x14ac:dyDescent="0.25">
      <c r="A11" s="33">
        <f>'Таблица 10'!$A$14</f>
        <v>8</v>
      </c>
      <c r="B11" s="1">
        <f>'Таблица 10'!C14</f>
        <v>128</v>
      </c>
      <c r="C11" s="1" cm="1">
        <f t="array" ref="C11">DMStoNum('Таблица 10'!D14)</f>
        <v>231.25</v>
      </c>
      <c r="D11" s="7">
        <f>'Таблица 10'!$K$14</f>
        <v>132.53846884333225</v>
      </c>
    </row>
    <row r="12" spans="1:4" x14ac:dyDescent="0.25">
      <c r="A12" s="33">
        <f>'Таблица 10'!$A$15</f>
        <v>9</v>
      </c>
      <c r="B12" s="1">
        <f>'Таблица 10'!C15</f>
        <v>124</v>
      </c>
      <c r="C12" s="1" cm="1">
        <f t="array" ref="C12">DMStoNum('Таблица 10'!D15)</f>
        <v>337.6</v>
      </c>
      <c r="D12" s="7">
        <f>'Таблица 10'!$K$15</f>
        <v>132.43846884333226</v>
      </c>
    </row>
    <row r="13" spans="1:4" x14ac:dyDescent="0.25">
      <c r="A13" s="33" t="s">
        <v>217</v>
      </c>
      <c r="B13" s="1"/>
      <c r="C13" s="1"/>
      <c r="D13" s="1"/>
    </row>
    <row r="14" spans="1:4" x14ac:dyDescent="0.25">
      <c r="A14" s="33">
        <f>'Таблица 10'!A17</f>
        <v>10</v>
      </c>
      <c r="B14" s="1">
        <f>'Таблица 10'!C17</f>
        <v>87</v>
      </c>
      <c r="C14" s="1" cm="1">
        <f t="array" ref="C14">DMStoNum('Таблица 10'!D17)</f>
        <v>104.26666666666667</v>
      </c>
      <c r="D14" s="7">
        <f>'Таблица 10'!K17</f>
        <v>131.86169382665932</v>
      </c>
    </row>
    <row r="15" spans="1:4" x14ac:dyDescent="0.25">
      <c r="A15" s="33">
        <f>'Таблица 10'!A18</f>
        <v>11</v>
      </c>
      <c r="B15" s="1">
        <f>'Таблица 10'!C18</f>
        <v>132</v>
      </c>
      <c r="C15" s="1" cm="1">
        <f t="array" ref="C15">DMStoNum('Таблица 10'!D18)</f>
        <v>253.15</v>
      </c>
      <c r="D15" s="7">
        <f>'Таблица 10'!K18</f>
        <v>131.67169382665932</v>
      </c>
    </row>
    <row r="16" spans="1:4" x14ac:dyDescent="0.25">
      <c r="A16" s="33">
        <f>'Таблица 10'!A19</f>
        <v>12</v>
      </c>
      <c r="B16" s="1">
        <f>'Таблица 10'!C19</f>
        <v>127</v>
      </c>
      <c r="C16" s="1" cm="1">
        <f t="array" ref="C16">DMStoNum('Таблица 10'!D19)</f>
        <v>277.8</v>
      </c>
      <c r="D16" s="7">
        <f>'Таблица 10'!K19</f>
        <v>130.68169382665931</v>
      </c>
    </row>
    <row r="17" spans="1:4" x14ac:dyDescent="0.25">
      <c r="A17" s="33">
        <f>'Таблица 10'!A20</f>
        <v>13</v>
      </c>
      <c r="B17" s="1">
        <f>'Таблица 10'!C20</f>
        <v>53</v>
      </c>
      <c r="C17" s="1" cm="1">
        <f t="array" ref="C17">DMStoNum('Таблица 10'!D20)</f>
        <v>279.66666666666669</v>
      </c>
      <c r="D17" s="7">
        <f>'Таблица 10'!K20</f>
        <v>132.18169382665931</v>
      </c>
    </row>
    <row r="18" spans="1:4" x14ac:dyDescent="0.25">
      <c r="A18" s="33" t="s">
        <v>218</v>
      </c>
      <c r="B18" s="1"/>
      <c r="C18" s="1"/>
      <c r="D18" s="1"/>
    </row>
    <row r="19" spans="1:4" x14ac:dyDescent="0.25">
      <c r="A19" s="33">
        <f>'Таблица 10'!A22</f>
        <v>14</v>
      </c>
      <c r="B19" s="1">
        <f>'Таблица 10'!C22</f>
        <v>114</v>
      </c>
      <c r="C19" s="1" cm="1">
        <f t="array" ref="C19">DMStoNum('Таблица 10'!D22)</f>
        <v>46.983333333333334</v>
      </c>
      <c r="D19" s="7">
        <f>'Таблица 10'!K22</f>
        <v>131.59875605300547</v>
      </c>
    </row>
    <row r="20" spans="1:4" x14ac:dyDescent="0.25">
      <c r="A20" s="33">
        <f>'Таблица 10'!A23</f>
        <v>15</v>
      </c>
      <c r="B20" s="1">
        <f>'Таблица 10'!C23</f>
        <v>82</v>
      </c>
      <c r="C20" s="1" cm="1">
        <f t="array" ref="C20">DMStoNum('Таблица 10'!D23)</f>
        <v>101.45</v>
      </c>
      <c r="D20" s="7">
        <f>'Таблица 10'!K23</f>
        <v>131.92875605300546</v>
      </c>
    </row>
    <row r="21" spans="1:4" x14ac:dyDescent="0.25">
      <c r="A21" s="33">
        <f>'Таблица 10'!A24</f>
        <v>16</v>
      </c>
      <c r="B21" s="1">
        <f>'Таблица 10'!C24</f>
        <v>84.5</v>
      </c>
      <c r="C21" s="1" cm="1">
        <f t="array" ref="C21">DMStoNum('Таблица 10'!D24)</f>
        <v>265.41666666666669</v>
      </c>
      <c r="D21" s="7">
        <f>'Таблица 10'!K24</f>
        <v>133.77875605300548</v>
      </c>
    </row>
    <row r="22" spans="1:4" x14ac:dyDescent="0.25">
      <c r="A22" s="33">
        <f>'Таблица 10'!A25</f>
        <v>17</v>
      </c>
      <c r="B22" s="1">
        <f>'Таблица 10'!C25</f>
        <v>81.5</v>
      </c>
      <c r="C22" s="1" cm="1">
        <f t="array" ref="C22">DMStoNum('Таблица 10'!D25)</f>
        <v>317.43333333333334</v>
      </c>
      <c r="D22" s="7">
        <f>'Таблица 10'!K25</f>
        <v>133.68875605300548</v>
      </c>
    </row>
    <row r="23" spans="1:4" x14ac:dyDescent="0.25">
      <c r="A23" s="33" t="s">
        <v>219</v>
      </c>
      <c r="B23" s="1"/>
      <c r="C23" s="1"/>
      <c r="D23" s="1"/>
    </row>
    <row r="24" spans="1:4" x14ac:dyDescent="0.25">
      <c r="A24" s="33">
        <f>'Таблица 10'!A27</f>
        <v>18</v>
      </c>
      <c r="B24" s="1">
        <f>'Таблица 10'!C27</f>
        <v>54</v>
      </c>
      <c r="C24" s="1" cm="1">
        <f t="array" ref="C24">DMStoNum('Таблица 10'!D27)</f>
        <v>12.95</v>
      </c>
      <c r="D24" s="1">
        <f>'Таблица 10'!K27</f>
        <v>133.29</v>
      </c>
    </row>
    <row r="25" spans="1:4" x14ac:dyDescent="0.25">
      <c r="A25" s="33">
        <f>'Таблица 10'!A28</f>
        <v>19</v>
      </c>
      <c r="B25" s="1">
        <f>'Таблица 10'!C28</f>
        <v>123</v>
      </c>
      <c r="C25" s="1" cm="1">
        <f t="array" ref="C25">DMStoNum('Таблица 10'!D28)</f>
        <v>178.01666666666668</v>
      </c>
      <c r="D25" s="1">
        <f>'Таблица 10'!K28</f>
        <v>127.87</v>
      </c>
    </row>
    <row r="26" spans="1:4" x14ac:dyDescent="0.25">
      <c r="A26" s="33">
        <f>'Таблица 10'!A29</f>
        <v>20</v>
      </c>
      <c r="B26" s="1">
        <f>'Таблица 10'!C29</f>
        <v>90</v>
      </c>
      <c r="C26" s="1" cm="1">
        <f t="array" ref="C26">DMStoNum('Таблица 10'!D29)</f>
        <v>178.55</v>
      </c>
      <c r="D26" s="1">
        <f>'Таблица 10'!K29</f>
        <v>127.9</v>
      </c>
    </row>
    <row r="27" spans="1:4" x14ac:dyDescent="0.25">
      <c r="A27" s="33">
        <f>'Таблица 10'!A30</f>
        <v>21</v>
      </c>
      <c r="B27" s="1">
        <f>'Таблица 10'!C30</f>
        <v>148</v>
      </c>
      <c r="C27" s="1" cm="1">
        <f t="array" ref="C27">DMStoNum('Таблица 10'!D30)</f>
        <v>234.93333333333334</v>
      </c>
      <c r="D27" s="1">
        <f>'Таблица 10'!K30</f>
        <v>128.19</v>
      </c>
    </row>
    <row r="28" spans="1:4" x14ac:dyDescent="0.25">
      <c r="A28" s="33">
        <f>'Таблица 10'!A31</f>
        <v>22</v>
      </c>
      <c r="B28" s="1">
        <f>'Таблица 10'!C31</f>
        <v>76.5</v>
      </c>
      <c r="C28" s="1" cm="1">
        <f t="array" ref="C28">DMStoNum('Таблица 10'!D31)</f>
        <v>275.85000000000002</v>
      </c>
      <c r="D28" s="1">
        <f>'Таблица 10'!K31</f>
        <v>131.19</v>
      </c>
    </row>
    <row r="29" spans="1:4" x14ac:dyDescent="0.25">
      <c r="A29" s="33">
        <f>'Таблица 10'!A32</f>
        <v>23</v>
      </c>
      <c r="B29" s="1">
        <f>'Таблица 10'!C32</f>
        <v>96</v>
      </c>
      <c r="C29" s="1" cm="1">
        <f t="array" ref="C29">DMStoNum('Таблица 10'!D32)</f>
        <v>334.76666666666665</v>
      </c>
      <c r="D29" s="1">
        <f>'Таблица 10'!K32</f>
        <v>133.29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965368-92A8-4C06-8F11-4C344D0D3E39}">
  <sheetPr codeName="Sheet8"/>
  <dimension ref="A1:J7"/>
  <sheetViews>
    <sheetView workbookViewId="0">
      <selection activeCell="B5" sqref="B5"/>
    </sheetView>
  </sheetViews>
  <sheetFormatPr defaultRowHeight="15" x14ac:dyDescent="0.25"/>
  <sheetData>
    <row r="1" spans="1:10" x14ac:dyDescent="0.25">
      <c r="A1" s="38" t="s">
        <v>109</v>
      </c>
      <c r="B1" s="39"/>
      <c r="C1" s="39"/>
      <c r="D1" s="39"/>
      <c r="E1" s="39"/>
      <c r="F1" s="39"/>
      <c r="G1" s="39"/>
      <c r="H1" s="39"/>
      <c r="I1" s="39"/>
      <c r="J1" s="40"/>
    </row>
    <row r="2" spans="1:10" x14ac:dyDescent="0.25">
      <c r="A2" s="2"/>
      <c r="B2" s="2" t="s">
        <v>110</v>
      </c>
      <c r="C2" s="6" t="s">
        <v>111</v>
      </c>
      <c r="D2" s="2"/>
      <c r="E2" s="2"/>
      <c r="F2" s="2"/>
      <c r="G2" s="2"/>
      <c r="H2" s="2"/>
      <c r="I2" s="2"/>
      <c r="J2" s="2"/>
    </row>
    <row r="3" spans="1:10" x14ac:dyDescent="0.25">
      <c r="A3" s="2" t="s">
        <v>112</v>
      </c>
      <c r="B3" s="7">
        <v>165.065</v>
      </c>
      <c r="C3" t="str" cm="1">
        <f t="array" ref="C3">DMSfromNum(1+31/60)</f>
        <v>1° 31' 0"</v>
      </c>
    </row>
    <row r="4" spans="1:10" x14ac:dyDescent="0.25">
      <c r="A4" s="2">
        <v>1</v>
      </c>
      <c r="B4" s="7">
        <v>128.61500000000001</v>
      </c>
      <c r="C4" t="str" cm="1">
        <f t="array" ref="C4">DMSfromNum(1+44/60)</f>
        <v>1° 44' 0"</v>
      </c>
    </row>
    <row r="5" spans="1:10" x14ac:dyDescent="0.25">
      <c r="A5" s="2">
        <v>2</v>
      </c>
      <c r="B5" s="7">
        <v>175.79</v>
      </c>
      <c r="C5" t="str" cm="1">
        <f t="array" ref="C5">DMSfromNum(0+20/60)</f>
        <v>0° 20' 0"</v>
      </c>
    </row>
    <row r="6" spans="1:10" x14ac:dyDescent="0.25">
      <c r="A6" s="2">
        <v>3</v>
      </c>
      <c r="B6" s="7">
        <v>220.38</v>
      </c>
      <c r="C6" t="str" cm="1">
        <f t="array" ref="C6">DMSfromNum(0+32/60)</f>
        <v>0° 32' 0"</v>
      </c>
    </row>
    <row r="7" spans="1:10" x14ac:dyDescent="0.25">
      <c r="A7" s="2" t="s">
        <v>113</v>
      </c>
      <c r="B7" s="1" t="s">
        <v>114</v>
      </c>
      <c r="C7" s="1" t="s">
        <v>114</v>
      </c>
    </row>
  </sheetData>
  <mergeCells count="1">
    <mergeCell ref="A1:J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Варианты</vt:lpstr>
      <vt:lpstr>Таблица 7</vt:lpstr>
      <vt:lpstr>Таблица 9</vt:lpstr>
      <vt:lpstr>Таблица 10</vt:lpstr>
      <vt:lpstr>Тест</vt:lpstr>
      <vt:lpstr>pandasPlan79</vt:lpstr>
      <vt:lpstr>pandasPlan10</vt:lpstr>
      <vt:lpstr>Таблица 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tameddev</dc:creator>
  <cp:lastModifiedBy>tameddev</cp:lastModifiedBy>
  <cp:lastPrinted>2023-03-05T15:17:01Z</cp:lastPrinted>
  <dcterms:created xsi:type="dcterms:W3CDTF">2023-03-05T14:16:21Z</dcterms:created>
  <dcterms:modified xsi:type="dcterms:W3CDTF">2023-03-06T01:13:55Z</dcterms:modified>
</cp:coreProperties>
</file>